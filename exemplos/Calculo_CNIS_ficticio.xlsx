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âmetros" sheetId="2" state="visible" r:id="rId2"/>
    <sheet name="Tempo de Contribuição" sheetId="3" state="visible" r:id="rId3"/>
    <sheet name="Regras EC 103" sheetId="4" state="visible" r:id="rId4"/>
    <sheet name="Salários e RMI" sheetId="5" state="visible" r:id="rId5"/>
    <sheet name="Competências s-SC" sheetId="6" state="visible" r:id="rId6"/>
    <sheet name="Evolução RMI" sheetId="7" state="visible" r:id="rId7"/>
    <sheet name="Diferenças" sheetId="8" state="visible" r:id="rId8"/>
    <sheet name="Honorários" sheetId="9" state="visible" r:id="rId9"/>
    <sheet name="IR (RRA)" sheetId="10" state="visible" r:id="rId10"/>
    <sheet name="Índices" sheetId="11" state="visible" r:id="rId11"/>
    <sheet name="Avis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i val="1"/>
      <sz val="9"/>
    </font>
    <font>
      <sz val="9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2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4" fontId="0" fillId="2" borderId="1" pivotButton="0" quotePrefix="0" xfId="0"/>
    <xf numFmtId="164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5" fontId="0" fillId="2" borderId="1" pivotButton="0" quotePrefix="0" xfId="0"/>
    <xf numFmtId="164" fontId="0" fillId="0" borderId="1" pivotButton="0" quotePrefix="0" xfId="0"/>
    <xf numFmtId="0" fontId="4" fillId="0" borderId="0" pivotButton="0" quotePrefix="0" xfId="0"/>
    <xf numFmtId="1" fontId="0" fillId="0" borderId="1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4" max="4"/>
    <col width="28" customWidth="1" min="5" max="5"/>
  </cols>
  <sheetData>
    <row r="1">
      <c r="A1" s="1" t="inlineStr">
        <is>
          <t>Resumo do Cálculo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6">
      <c r="A6" s="2" t="inlineStr">
        <is>
          <t>Início do Benefício (DIB):</t>
        </is>
      </c>
      <c r="B6" t="inlineStr">
        <is>
          <t>01/03/2024</t>
        </is>
      </c>
      <c r="D6" s="2" t="inlineStr">
        <is>
          <t>Data da Atualização:</t>
        </is>
      </c>
      <c r="E6" t="inlineStr">
        <is>
          <t>15/09/2026</t>
        </is>
      </c>
    </row>
    <row r="7">
      <c r="A7" s="2" t="inlineStr">
        <is>
          <t>Ajuizamento:</t>
        </is>
      </c>
      <c r="B7" t="inlineStr">
        <is>
          <t>10/06/2024</t>
        </is>
      </c>
      <c r="D7" s="2" t="inlineStr">
        <is>
          <t>Data da Prescrição:</t>
        </is>
      </c>
      <c r="E7" t="inlineStr">
        <is>
          <t>01/03/2024</t>
        </is>
      </c>
    </row>
    <row r="9">
      <c r="A9" s="2" t="inlineStr">
        <is>
          <t>Renda Mensal Corrigida até 15/09/2026:</t>
        </is>
      </c>
      <c r="B9" s="3">
        <f>'Diferenças'!B54</f>
        <v/>
      </c>
    </row>
    <row r="10">
      <c r="A10" s="2" t="inlineStr">
        <is>
          <t>Principal:</t>
        </is>
      </c>
      <c r="B10" s="4">
        <f>'Diferenças'!D52</f>
        <v/>
      </c>
    </row>
    <row r="11">
      <c r="A11" s="2" t="inlineStr">
        <is>
          <t>Correção Monetária:</t>
        </is>
      </c>
      <c r="B11" s="4">
        <f>'Diferenças'!R52-'Diferenças'!D52</f>
        <v/>
      </c>
    </row>
    <row r="12">
      <c r="A12" s="2" t="inlineStr">
        <is>
          <t>Total Atualizado:</t>
        </is>
      </c>
      <c r="B12" s="4">
        <f>'Diferenças'!R52</f>
        <v/>
      </c>
    </row>
    <row r="13">
      <c r="A13" s="2" t="inlineStr">
        <is>
          <t>Valor dos Juros:</t>
        </is>
      </c>
      <c r="B13" s="4">
        <f>'Diferenças'!S52</f>
        <v/>
      </c>
    </row>
    <row r="14">
      <c r="A14" s="2" t="inlineStr">
        <is>
          <t>(-) Acordo/Deságio:</t>
        </is>
      </c>
      <c r="B14" s="4">
        <f>'Parâmetros'!$B$24</f>
        <v/>
      </c>
    </row>
    <row r="15">
      <c r="A15" s="2" t="inlineStr">
        <is>
          <t>Total Atualizado + Valor dos Juros - Valor Acordo:</t>
        </is>
      </c>
      <c r="B15" s="5">
        <f>B12+B13-B14</f>
        <v/>
      </c>
    </row>
    <row r="16">
      <c r="A16" s="2" t="inlineStr">
        <is>
          <t>Honorários Sobre a Base de Cálculo Atualizada:</t>
        </is>
      </c>
      <c r="B16" s="4">
        <f>'Honorários'!$B$45</f>
        <v/>
      </c>
    </row>
    <row r="17">
      <c r="A17" s="2" t="inlineStr">
        <is>
          <t>Honorários Sobre os Juros da Base de Cálculo:</t>
        </is>
      </c>
      <c r="B17" s="4">
        <f>'Honorários'!$B$46</f>
        <v/>
      </c>
    </row>
    <row r="18">
      <c r="A18" s="2" t="inlineStr">
        <is>
          <t>Valor Fixo de Honorários:</t>
        </is>
      </c>
      <c r="B18" s="4">
        <f>'Honorários'!$B$47</f>
        <v/>
      </c>
    </row>
    <row r="19">
      <c r="A19" s="2" t="inlineStr">
        <is>
          <t>Total Atualizado de Honorários:</t>
        </is>
      </c>
      <c r="B19" s="4">
        <f>'Honorários'!$B$48</f>
        <v/>
      </c>
    </row>
    <row r="20">
      <c r="A20" s="2" t="inlineStr">
        <is>
          <t>Multa:</t>
        </is>
      </c>
      <c r="B20" s="4">
        <f>'Parâmetros'!$B$25</f>
        <v/>
      </c>
    </row>
    <row r="21">
      <c r="A21" s="2" t="inlineStr">
        <is>
          <t>Dano Moral/Material:</t>
        </is>
      </c>
      <c r="B21" s="4">
        <f>'Parâmetros'!$B$26</f>
        <v/>
      </c>
    </row>
    <row r="22">
      <c r="A22" s="2" t="inlineStr">
        <is>
          <t>Total Geral:</t>
        </is>
      </c>
      <c r="B22" s="5">
        <f>B15+B19+B20+B21</f>
        <v/>
      </c>
    </row>
    <row r="23">
      <c r="A23" t="inlineStr">
        <is>
          <t>Total geral atualizado até 15/09/2026</t>
        </is>
      </c>
    </row>
    <row r="24">
      <c r="A24" s="2" t="inlineStr">
        <is>
          <t>O valor equivale a (salários mínimos):</t>
        </is>
      </c>
      <c r="B24" s="6">
        <f>ROUND(B22/'Parâmetros'!$B$27,2)</f>
        <v/>
      </c>
    </row>
    <row r="26">
      <c r="A26" s="7" t="inlineStr">
        <is>
          <t>Valor da causa (art. 292, §§ 1º e 2º, do CPC)</t>
        </is>
      </c>
    </row>
    <row r="27">
      <c r="A27" s="2" t="inlineStr">
        <is>
          <t>Parcelas vencidas (atualizadas + juros):</t>
        </is>
      </c>
      <c r="B27" s="4">
        <f>B15</f>
        <v/>
      </c>
    </row>
    <row r="28">
      <c r="A28" s="2" t="inlineStr">
        <is>
          <t>12 parcelas vincendas (12 × R.M.A.):</t>
        </is>
      </c>
      <c r="B28" s="4">
        <f>ROUND(12*'Diferenças'!B54,2)</f>
        <v/>
      </c>
    </row>
    <row r="29">
      <c r="A29" s="2" t="inlineStr">
        <is>
          <t>Valor da causa:</t>
        </is>
      </c>
      <c r="B29" s="4">
        <f>B27+B28</f>
        <v/>
      </c>
    </row>
    <row r="30">
      <c r="A30" s="2" t="inlineStr">
        <is>
          <t>Limite do JEF (60 salários mínimos):</t>
        </is>
      </c>
      <c r="B30" s="4">
        <f>ROUND(60*'Parâmetros'!$B$27,2)</f>
        <v/>
      </c>
    </row>
    <row r="31">
      <c r="A31" s="2" t="inlineStr">
        <is>
          <t>Competência:</t>
        </is>
      </c>
      <c r="B31" s="8">
        <f>IF(B29&lt;=B30,"Juizado Especial Federal","Vara Federal (ou renúncia ao excedente)")</f>
        <v/>
      </c>
    </row>
    <row r="34">
      <c r="A34" s="2" t="inlineStr">
        <is>
          <t>Cristiano da Silva Ottone  OAB/MG 152.214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1" t="inlineStr">
        <is>
          <t>Parâmetros do cálculo (células amarelas podem ser editadas)</t>
        </is>
      </c>
    </row>
    <row r="3">
      <c r="A3" s="2" t="inlineStr">
        <is>
          <t>Nome do segurado</t>
        </is>
      </c>
      <c r="B3" s="8" t="inlineStr">
        <is>
          <t>JOSE EXEMPLO DA SILVA</t>
        </is>
      </c>
    </row>
    <row r="4">
      <c r="A4" s="2" t="inlineStr">
        <is>
          <t>NIT</t>
        </is>
      </c>
      <c r="B4" s="8" t="inlineStr">
        <is>
          <t>111.22222.33-4</t>
        </is>
      </c>
    </row>
    <row r="5">
      <c r="A5" s="2" t="inlineStr">
        <is>
          <t>CPF</t>
        </is>
      </c>
      <c r="B5" s="8" t="inlineStr">
        <is>
          <t>111.222.333-44</t>
        </is>
      </c>
    </row>
    <row r="6">
      <c r="A6" s="2" t="inlineStr">
        <is>
          <t>Data de nascimento</t>
        </is>
      </c>
      <c r="B6" s="8" t="inlineStr">
        <is>
          <t>10/05/1962</t>
        </is>
      </c>
    </row>
    <row r="7">
      <c r="A7" s="2" t="inlineStr">
        <is>
          <t>Sexo</t>
        </is>
      </c>
      <c r="B7" s="8" t="inlineStr">
        <is>
          <t>M</t>
        </is>
      </c>
    </row>
    <row r="8">
      <c r="A8" s="2" t="inlineStr">
        <is>
          <t>Nº do benefício</t>
        </is>
      </c>
      <c r="B8" s="8" t="inlineStr"/>
    </row>
    <row r="9">
      <c r="A9" s="2" t="inlineStr">
        <is>
          <t>Espécie</t>
        </is>
      </c>
      <c r="B9" s="8" t="inlineStr">
        <is>
          <t>42 - Aposentadoria por Tempo de Contribuição</t>
        </is>
      </c>
    </row>
    <row r="10">
      <c r="A10" s="2" t="inlineStr">
        <is>
          <t>DER</t>
        </is>
      </c>
      <c r="B10" s="8" t="inlineStr">
        <is>
          <t>01/03/2024</t>
        </is>
      </c>
    </row>
    <row r="11">
      <c r="A11" s="2" t="inlineStr">
        <is>
          <t>DIB</t>
        </is>
      </c>
      <c r="B11" s="8" t="inlineStr">
        <is>
          <t>01/03/2024</t>
        </is>
      </c>
    </row>
    <row r="12">
      <c r="A12" s="2" t="inlineStr">
        <is>
          <t>RMI (renda mensal inicial)</t>
        </is>
      </c>
      <c r="B12" s="9" t="n">
        <v>4626.87</v>
      </c>
    </row>
    <row r="13">
      <c r="A13" s="2" t="inlineStr">
        <is>
          <t>Nº do processo</t>
        </is>
      </c>
      <c r="B13" s="8" t="inlineStr">
        <is>
          <t>0000000-00.2024.4.01.3800</t>
        </is>
      </c>
    </row>
    <row r="14">
      <c r="A14" s="2" t="inlineStr">
        <is>
          <t>Inscrição no INSS</t>
        </is>
      </c>
      <c r="B14" s="8" t="inlineStr"/>
    </row>
    <row r="15">
      <c r="A15" s="2" t="inlineStr">
        <is>
          <t>Ajuizamento</t>
        </is>
      </c>
      <c r="B15" s="8" t="inlineStr">
        <is>
          <t>10/06/2024</t>
        </is>
      </c>
    </row>
    <row r="16">
      <c r="A16" s="2" t="inlineStr">
        <is>
          <t>Citação (início dos juros de mora)</t>
        </is>
      </c>
      <c r="B16" s="8" t="inlineStr">
        <is>
          <t>01/08/2024</t>
        </is>
      </c>
    </row>
    <row r="17">
      <c r="A17" s="2" t="inlineStr">
        <is>
          <t>Data da prescrição quinquenal</t>
        </is>
      </c>
      <c r="B17" s="8" t="inlineStr">
        <is>
          <t>01/03/2024</t>
        </is>
      </c>
    </row>
    <row r="18">
      <c r="A18" s="2" t="inlineStr">
        <is>
          <t>Data da atualização</t>
        </is>
      </c>
      <c r="B18" s="8" t="inlineStr">
        <is>
          <t>15/09/2026</t>
        </is>
      </c>
    </row>
    <row r="19">
      <c r="A19" s="2" t="inlineStr">
        <is>
          <t>Diferenças desde</t>
        </is>
      </c>
      <c r="B19" s="8" t="inlineStr">
        <is>
          <t>01/03/2024</t>
        </is>
      </c>
    </row>
    <row r="20">
      <c r="A20" s="2" t="inlineStr">
        <is>
          <t>Diferenças até</t>
        </is>
      </c>
      <c r="B20" s="8" t="inlineStr">
        <is>
          <t>31/08/2026</t>
        </is>
      </c>
    </row>
    <row r="21">
      <c r="A21" s="2" t="inlineStr">
        <is>
          <t>Honorários (%)</t>
        </is>
      </c>
      <c r="B21" s="10" t="n">
        <v>10</v>
      </c>
    </row>
    <row r="22">
      <c r="A22" s="2" t="inlineStr">
        <is>
          <t>Honorários: parcelas até (Súmula 111/STJ)</t>
        </is>
      </c>
      <c r="B22" s="8" t="inlineStr">
        <is>
          <t>30/04/2026</t>
        </is>
      </c>
    </row>
    <row r="23">
      <c r="A23" s="2" t="inlineStr">
        <is>
          <t>Honorários: valor fixo</t>
        </is>
      </c>
      <c r="B23" s="9" t="n">
        <v>0</v>
      </c>
    </row>
    <row r="24">
      <c r="A24" s="2" t="inlineStr">
        <is>
          <t>(-) Acordo/Deságio</t>
        </is>
      </c>
      <c r="B24" s="9" t="n">
        <v>0</v>
      </c>
    </row>
    <row r="25">
      <c r="A25" s="2" t="inlineStr">
        <is>
          <t>Multa</t>
        </is>
      </c>
      <c r="B25" s="9" t="n">
        <v>0</v>
      </c>
    </row>
    <row r="26">
      <c r="A26" s="2" t="inlineStr">
        <is>
          <t>Dano moral/material</t>
        </is>
      </c>
      <c r="B26" s="9" t="n">
        <v>0</v>
      </c>
    </row>
    <row r="27">
      <c r="A27" s="2" t="inlineStr">
        <is>
          <t>Salário mínimo na data da atualização</t>
        </is>
      </c>
      <c r="B27" s="9" t="n">
        <v>1621</v>
      </c>
    </row>
    <row r="28">
      <c r="A28" s="2" t="inlineStr">
        <is>
          <t>Índice de correção</t>
        </is>
      </c>
      <c r="B28" s="8" t="inlineStr">
        <is>
          <t>INPC</t>
        </is>
      </c>
    </row>
    <row r="29">
      <c r="A29" s="2" t="inlineStr">
        <is>
          <t>Responsável pelo cálculo</t>
        </is>
      </c>
      <c r="B29" s="8" t="inlineStr">
        <is>
          <t>Cristiano da Silva Ottone</t>
        </is>
      </c>
    </row>
    <row r="30">
      <c r="A30" s="2" t="inlineStr">
        <is>
          <t>OAB</t>
        </is>
      </c>
      <c r="B30" s="8" t="inlineStr">
        <is>
          <t>OAB/MG 152.214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12" customWidth="1" min="4" max="4"/>
    <col width="12" customWidth="1" min="5" max="5"/>
    <col width="10" customWidth="1" min="6" max="6"/>
    <col width="16" customWidth="1" min="7" max="7"/>
    <col width="10" customWidth="1" min="8" max="8"/>
    <col width="11" customWidth="1" min="9" max="9"/>
  </cols>
  <sheetData>
    <row r="1">
      <c r="A1" s="1" t="inlineStr">
        <is>
          <t>Tempo de Contribuição e Carência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7" ht="32" customHeight="1">
      <c r="A7" s="11" t="inlineStr">
        <is>
          <t>Seq.</t>
        </is>
      </c>
      <c r="B7" s="11" t="inlineStr">
        <is>
          <t>Empregador / Origem</t>
        </is>
      </c>
      <c r="C7" s="11" t="inlineStr">
        <is>
          <t>Tipo</t>
        </is>
      </c>
      <c r="D7" s="11" t="inlineStr">
        <is>
          <t>Início</t>
        </is>
      </c>
      <c r="E7" s="11" t="inlineStr">
        <is>
          <t>Fim</t>
        </is>
      </c>
      <c r="F7" s="11" t="inlineStr">
        <is>
          <t>Especial</t>
        </is>
      </c>
      <c r="G7" s="11" t="inlineStr">
        <is>
          <t>Tempo (a/m/d)</t>
        </is>
      </c>
      <c r="H7" s="11" t="inlineStr">
        <is>
          <t>Carência?</t>
        </is>
      </c>
      <c r="I7" s="11" t="inlineStr">
        <is>
          <t>Computado?</t>
        </is>
      </c>
    </row>
    <row r="8">
      <c r="A8" s="8" t="n">
        <v>1</v>
      </c>
      <c r="B8" s="8" t="inlineStr">
        <is>
          <t>METALURGICA EXEMPLO LTDA</t>
        </is>
      </c>
      <c r="C8" s="8" t="inlineStr">
        <is>
          <t>Empregado ou Agente Público</t>
        </is>
      </c>
      <c r="D8" s="8" t="inlineStr">
        <is>
          <t>01/03/1984</t>
        </is>
      </c>
      <c r="E8" s="8" t="inlineStr">
        <is>
          <t>30/06/1998</t>
        </is>
      </c>
      <c r="F8" s="8" t="inlineStr">
        <is>
          <t>25 anos</t>
        </is>
      </c>
      <c r="G8" s="8" t="inlineStr">
        <is>
          <t>14a 4m 0d</t>
        </is>
      </c>
      <c r="H8" s="8" t="inlineStr">
        <is>
          <t>sim</t>
        </is>
      </c>
      <c r="I8" s="8" t="inlineStr">
        <is>
          <t>sim</t>
        </is>
      </c>
    </row>
    <row r="9">
      <c r="A9" s="8" t="n">
        <v>2</v>
      </c>
      <c r="B9" s="8" t="inlineStr">
        <is>
          <t>COMERCIO EXEMPLO S.A.</t>
        </is>
      </c>
      <c r="C9" s="8" t="inlineStr">
        <is>
          <t>Empregado ou Agente Público</t>
        </is>
      </c>
      <c r="D9" s="8" t="inlineStr">
        <is>
          <t>01/08/1998</t>
        </is>
      </c>
      <c r="E9" s="8" t="inlineStr">
        <is>
          <t>30/06/2019</t>
        </is>
      </c>
      <c r="F9" s="8" t="inlineStr"/>
      <c r="G9" s="8" t="inlineStr">
        <is>
          <t>20a 11m 0d</t>
        </is>
      </c>
      <c r="H9" s="8" t="inlineStr">
        <is>
          <t>sim</t>
        </is>
      </c>
      <c r="I9" s="8" t="inlineStr">
        <is>
          <t>sim</t>
        </is>
      </c>
    </row>
    <row r="10">
      <c r="A10" s="8" t="n">
        <v>3</v>
      </c>
      <c r="B10" s="8" t="inlineStr">
        <is>
          <t>Recolhimento</t>
        </is>
      </c>
      <c r="C10" s="8" t="inlineStr">
        <is>
          <t>Contribuinte Individual</t>
        </is>
      </c>
      <c r="D10" s="8" t="inlineStr">
        <is>
          <t>01/07/2019</t>
        </is>
      </c>
      <c r="E10" s="8" t="inlineStr">
        <is>
          <t>31/12/2020</t>
        </is>
      </c>
      <c r="F10" s="8" t="inlineStr"/>
      <c r="G10" s="8" t="inlineStr">
        <is>
          <t>1a 6m 0d</t>
        </is>
      </c>
      <c r="H10" s="8" t="inlineStr">
        <is>
          <t>sim</t>
        </is>
      </c>
      <c r="I10" s="8" t="inlineStr">
        <is>
          <t>sim</t>
        </is>
      </c>
    </row>
    <row r="12">
      <c r="B12" s="2" t="inlineStr">
        <is>
          <t>Tempo até 13/11/2019 (com conversão do especial)</t>
        </is>
      </c>
      <c r="G12" s="12" t="inlineStr">
        <is>
          <t>41a 4m 7d</t>
        </is>
      </c>
    </row>
    <row r="13">
      <c r="B13" s="2" t="inlineStr">
        <is>
          <t>Tempo até a DER (com conversão até 13/11/2019)</t>
        </is>
      </c>
      <c r="G13" s="12" t="inlineStr">
        <is>
          <t>42a 5m 24d</t>
        </is>
      </c>
    </row>
    <row r="14">
      <c r="B14" s="2" t="inlineStr">
        <is>
          <t>Tempo até a DER (sem conversão)</t>
        </is>
      </c>
      <c r="G14" s="12" t="inlineStr">
        <is>
          <t>36a 9m 0d</t>
        </is>
      </c>
    </row>
    <row r="15">
      <c r="B15" s="2" t="inlineStr">
        <is>
          <t>Tempo especial até a DER</t>
        </is>
      </c>
      <c r="G15" s="12" t="inlineStr">
        <is>
          <t>14a 4m 0d</t>
        </is>
      </c>
    </row>
    <row r="16">
      <c r="B16" s="2" t="inlineStr">
        <is>
          <t>Carência até a DER (meses)</t>
        </is>
      </c>
      <c r="G16" s="12" t="n">
        <v>441</v>
      </c>
    </row>
    <row r="17">
      <c r="B17" s="2" t="inlineStr">
        <is>
          <t>Idade na DER</t>
        </is>
      </c>
      <c r="G17" s="12" t="inlineStr">
        <is>
          <t>61a 9m 20d</t>
        </is>
      </c>
    </row>
    <row r="19">
      <c r="B19" t="inlineStr">
        <is>
          <t>Concomitâncias contadas uma vez. Conversão especial→comum só até 13/11/2019 (EC 103/2019, art. 25, §2º). Contagem em ano de 360 / mês de 30 dias.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11" customWidth="1" min="3" max="3"/>
    <col width="13" customWidth="1" min="4" max="4"/>
    <col width="55" customWidth="1" min="5" max="5"/>
    <col width="55" customWidth="1" min="6" max="6"/>
    <col width="12" customWidth="1" min="7" max="7"/>
    <col width="12" customWidth="1" min="8" max="8"/>
    <col width="9" customWidth="1" min="9" max="9"/>
    <col width="10" customWidth="1" min="10" max="10"/>
    <col width="12" customWidth="1" min="11" max="11"/>
  </cols>
  <sheetData>
    <row r="1">
      <c r="A1" s="1" t="inlineStr">
        <is>
          <t>Regras de Aposentadoria (direito adquirido, transições da EC 103/2019 e regra permanente)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7" ht="32" customHeight="1">
      <c r="A7" s="11" t="inlineStr">
        <is>
          <t>Regra</t>
        </is>
      </c>
      <c r="B7" s="11" t="inlineStr">
        <is>
          <t>Fundamento</t>
        </is>
      </c>
      <c r="C7" s="11" t="inlineStr">
        <is>
          <t>Cumpre na DER?</t>
        </is>
      </c>
      <c r="D7" s="11" t="inlineStr">
        <is>
          <t>Data em que cumpre</t>
        </is>
      </c>
      <c r="E7" s="11" t="inlineStr">
        <is>
          <t>Requisitos na DER</t>
        </is>
      </c>
      <c r="F7" s="11" t="inlineStr">
        <is>
          <t>Requisitos na data</t>
        </is>
      </c>
      <c r="G7" s="11" t="inlineStr">
        <is>
          <t>DIB considerada</t>
        </is>
      </c>
      <c r="H7" s="11" t="inlineStr">
        <is>
          <t>Média</t>
        </is>
      </c>
      <c r="I7" s="11" t="inlineStr">
        <is>
          <t>Coef. (%)</t>
        </is>
      </c>
      <c r="J7" s="11" t="inlineStr">
        <is>
          <t>Fator prev.</t>
        </is>
      </c>
      <c r="K7" s="11" t="inlineStr">
        <is>
          <t>RMI</t>
        </is>
      </c>
    </row>
    <row r="8">
      <c r="A8" s="13" t="inlineStr">
        <is>
          <t>Direito adquirido - ATC (Lei 8.213/91, art. 52 e ss.)</t>
        </is>
      </c>
      <c r="B8" s="13" t="inlineStr">
        <is>
          <t>EC 103/2019, art. 3º</t>
        </is>
      </c>
      <c r="C8" s="13" t="inlineStr">
        <is>
          <t>SIM</t>
        </is>
      </c>
      <c r="D8" s="13" t="inlineStr">
        <is>
          <t>01/03/2024</t>
        </is>
      </c>
      <c r="E8" s="13" t="inlineStr">
        <is>
          <t>TC 41a 4m 7d (mín. 35a); carência 428/180</t>
        </is>
      </c>
      <c r="F8" s="13" t="inlineStr">
        <is>
          <t>TC 41a 4m 7d (mín. 35a); carência 428/180</t>
        </is>
      </c>
      <c r="G8" s="13" t="inlineStr">
        <is>
          <t>01/03/2024</t>
        </is>
      </c>
      <c r="H8" s="14" t="n">
        <v>4557.77</v>
      </c>
      <c r="I8" s="13" t="n">
        <v>100</v>
      </c>
      <c r="J8" s="13" t="n">
        <v>1.0109</v>
      </c>
      <c r="K8" s="14" t="n">
        <v>4607.45</v>
      </c>
    </row>
    <row r="9">
      <c r="A9" s="13" t="inlineStr">
        <is>
          <t>Direito adquirido - aposentadoria por idade</t>
        </is>
      </c>
      <c r="B9" s="13" t="inlineStr">
        <is>
          <t>EC 103/2019, art. 3º; Lei 8.213/91, art. 48</t>
        </is>
      </c>
      <c r="C9" s="13" t="inlineStr">
        <is>
          <t>não</t>
        </is>
      </c>
      <c r="D9" s="13" t="inlineStr">
        <is>
          <t>—</t>
        </is>
      </c>
      <c r="E9" s="13" t="inlineStr">
        <is>
          <t>idade 57a 6m 3d (mín. 65a); carência 428/180</t>
        </is>
      </c>
      <c r="F9" s="13" t="inlineStr">
        <is>
          <t>idade 57a 6m 3d (mín. 65a); carência 428/180</t>
        </is>
      </c>
      <c r="G9" s="13" t="inlineStr"/>
      <c r="H9" s="14" t="n"/>
      <c r="I9" s="13" t="n"/>
      <c r="J9" s="13" t="n"/>
      <c r="K9" s="14" t="n"/>
    </row>
    <row r="10">
      <c r="A10" s="13" t="inlineStr">
        <is>
          <t>Direito adquirido - aposentadoria especial (25 anos)</t>
        </is>
      </c>
      <c r="B10" s="13" t="inlineStr">
        <is>
          <t>EC 103/2019, art. 3º; Lei 8.213/91, art. 57</t>
        </is>
      </c>
      <c r="C10" s="13" t="inlineStr">
        <is>
          <t>não</t>
        </is>
      </c>
      <c r="D10" s="13" t="inlineStr">
        <is>
          <t>—</t>
        </is>
      </c>
      <c r="E10" s="13" t="inlineStr">
        <is>
          <t>tempo especial 14a 4m 0d (mín. 25a); carência 428/180</t>
        </is>
      </c>
      <c r="F10" s="13" t="inlineStr">
        <is>
          <t>tempo especial 14a 4m 0d (mín. 25a); carência 428/180</t>
        </is>
      </c>
      <c r="G10" s="13" t="inlineStr"/>
      <c r="H10" s="14" t="n"/>
      <c r="I10" s="13" t="n"/>
      <c r="J10" s="13" t="n"/>
      <c r="K10" s="14" t="n"/>
    </row>
    <row r="11">
      <c r="A11" s="13" t="inlineStr">
        <is>
          <t>Transição - pontos</t>
        </is>
      </c>
      <c r="B11" s="13" t="inlineStr">
        <is>
          <t>EC 103/2019, art. 15</t>
        </is>
      </c>
      <c r="C11" s="13" t="inlineStr">
        <is>
          <t>SIM</t>
        </is>
      </c>
      <c r="D11" s="13" t="inlineStr">
        <is>
          <t>01/03/2024</t>
        </is>
      </c>
      <c r="E11" s="13" t="inlineStr">
        <is>
          <t>TC 42a 5m 24d; pontos 104.29 (mín. 101); carência 441/180</t>
        </is>
      </c>
      <c r="F11" s="13" t="inlineStr">
        <is>
          <t>TC 42a 5m 24d; pontos 104.29 (mín. 101); carência 441/180</t>
        </is>
      </c>
      <c r="G11" s="13" t="inlineStr">
        <is>
          <t>01/03/2024</t>
        </is>
      </c>
      <c r="H11" s="14" t="n">
        <v>4336.74</v>
      </c>
      <c r="I11" s="13" t="n">
        <v>104</v>
      </c>
      <c r="J11" s="13" t="n"/>
      <c r="K11" s="14" t="n">
        <v>4510.21</v>
      </c>
    </row>
    <row r="12">
      <c r="A12" s="13" t="inlineStr">
        <is>
          <t>Transição - idade mínima progressiva</t>
        </is>
      </c>
      <c r="B12" s="13" t="inlineStr">
        <is>
          <t>EC 103/2019, art. 16</t>
        </is>
      </c>
      <c r="C12" s="13" t="inlineStr">
        <is>
          <t>não</t>
        </is>
      </c>
      <c r="D12" s="13" t="inlineStr">
        <is>
          <t>10/11/2026</t>
        </is>
      </c>
      <c r="E12" s="13" t="inlineStr">
        <is>
          <t>TC 42a 5m 24d; idade 61a 9m 20d (mín. 63.5); carência 441/180</t>
        </is>
      </c>
      <c r="F12" s="13" t="inlineStr">
        <is>
          <t>TC 45a 2m 3d; idade 64a 6m 0d (mín. 64.5); carência 474/180</t>
        </is>
      </c>
      <c r="G12" s="13" t="inlineStr">
        <is>
          <t>10/11/2026</t>
        </is>
      </c>
      <c r="H12" s="14" t="n">
        <v>4336.74</v>
      </c>
      <c r="I12" s="13" t="n">
        <v>104</v>
      </c>
      <c r="J12" s="13" t="n"/>
      <c r="K12" s="14" t="n">
        <v>4510.21</v>
      </c>
    </row>
    <row r="13">
      <c r="A13" s="15" t="inlineStr">
        <is>
          <t>Transição - pedágio 50%</t>
        </is>
      </c>
      <c r="B13" s="15" t="inlineStr">
        <is>
          <t>EC 103/2019, art. 17</t>
        </is>
      </c>
      <c r="C13" s="15" t="inlineStr">
        <is>
          <t>SIM</t>
        </is>
      </c>
      <c r="D13" s="15" t="inlineStr">
        <is>
          <t>01/03/2024</t>
        </is>
      </c>
      <c r="E13" s="15" t="inlineStr">
        <is>
          <t>TC em 13/11/2019 41a 4m 7d (precisa &gt; 33a); TC 42a 5m 24d (mín. 35a 0m 0d); carência 441/180</t>
        </is>
      </c>
      <c r="F13" s="15" t="inlineStr">
        <is>
          <t>TC em 13/11/2019 41a 4m 7d (precisa &gt; 33a); TC 42a 5m 24d (mín. 35a 0m 0d); carência 441/180</t>
        </is>
      </c>
      <c r="G13" s="15" t="inlineStr">
        <is>
          <t>01/03/2024</t>
        </is>
      </c>
      <c r="H13" s="16" t="n">
        <v>4336.74</v>
      </c>
      <c r="I13" s="15" t="n">
        <v>100</v>
      </c>
      <c r="J13" s="15" t="n">
        <v>1.0669</v>
      </c>
      <c r="K13" s="16" t="n">
        <v>4626.87</v>
      </c>
    </row>
    <row r="14">
      <c r="A14" s="13" t="inlineStr">
        <is>
          <t>Transição - pedágio 100%</t>
        </is>
      </c>
      <c r="B14" s="13" t="inlineStr">
        <is>
          <t>EC 103/2019, art. 20</t>
        </is>
      </c>
      <c r="C14" s="13" t="inlineStr">
        <is>
          <t>SIM</t>
        </is>
      </c>
      <c r="D14" s="13" t="inlineStr">
        <is>
          <t>01/03/2024</t>
        </is>
      </c>
      <c r="E14" s="13" t="inlineStr">
        <is>
          <t>idade 61a 9m 20d (mín. 60a); TC 42a 5m 24d (mín. 35a 0m 0d); carência 441/180</t>
        </is>
      </c>
      <c r="F14" s="13" t="inlineStr">
        <is>
          <t>idade 61a 9m 20d (mín. 60a); TC 42a 5m 24d (mín. 35a 0m 0d); carência 441/180</t>
        </is>
      </c>
      <c r="G14" s="13" t="inlineStr">
        <is>
          <t>01/03/2024</t>
        </is>
      </c>
      <c r="H14" s="14" t="n">
        <v>4336.74</v>
      </c>
      <c r="I14" s="13" t="n">
        <v>100</v>
      </c>
      <c r="J14" s="13" t="n"/>
      <c r="K14" s="14" t="n">
        <v>4336.74</v>
      </c>
    </row>
    <row r="15">
      <c r="A15" s="13" t="inlineStr">
        <is>
          <t>Transição - aposentadoria por idade</t>
        </is>
      </c>
      <c r="B15" s="13" t="inlineStr">
        <is>
          <t>EC 103/2019, art. 18</t>
        </is>
      </c>
      <c r="C15" s="13" t="inlineStr">
        <is>
          <t>não</t>
        </is>
      </c>
      <c r="D15" s="13" t="inlineStr">
        <is>
          <t>10/05/2027</t>
        </is>
      </c>
      <c r="E15" s="13" t="inlineStr">
        <is>
          <t>idade 61a 9m 20d (mín. 65); TC 42a 5m 24d (mín. 15a); carência 441/180</t>
        </is>
      </c>
      <c r="F15" s="13" t="inlineStr">
        <is>
          <t>idade 65a 0m 0d (mín. 65); TC 45a 8m 3d (mín. 15a); carência 480/180</t>
        </is>
      </c>
      <c r="G15" s="13" t="inlineStr">
        <is>
          <t>10/05/2027</t>
        </is>
      </c>
      <c r="H15" s="14" t="n">
        <v>4336.74</v>
      </c>
      <c r="I15" s="13" t="n">
        <v>104</v>
      </c>
      <c r="J15" s="13" t="n"/>
      <c r="K15" s="14" t="n">
        <v>4510.21</v>
      </c>
    </row>
    <row r="16">
      <c r="A16" s="13" t="inlineStr">
        <is>
          <t>Transição - aposentadoria especial (25 anos)</t>
        </is>
      </c>
      <c r="B16" s="13" t="inlineStr">
        <is>
          <t>EC 103/2019, art. 21</t>
        </is>
      </c>
      <c r="C16" s="13" t="inlineStr">
        <is>
          <t>não</t>
        </is>
      </c>
      <c r="D16" s="13" t="inlineStr">
        <is>
          <t>—</t>
        </is>
      </c>
      <c r="E16" s="13" t="inlineStr">
        <is>
          <t>tempo especial 14a 4m 0d (mín. 25a); pontos 98.56 (mín. 86); carência 441/180</t>
        </is>
      </c>
      <c r="F16" s="13" t="inlineStr">
        <is>
          <t>tempo especial 14a 4m 0d (mín. 25a); pontos 98.56 (mín. 86); carência 441/180</t>
        </is>
      </c>
      <c r="G16" s="13" t="inlineStr"/>
      <c r="H16" s="14" t="n"/>
      <c r="I16" s="13" t="n"/>
      <c r="J16" s="13" t="n"/>
      <c r="K16" s="14" t="n"/>
    </row>
    <row r="17">
      <c r="A17" s="13" t="inlineStr">
        <is>
          <t>Regra permanente (programada)</t>
        </is>
      </c>
      <c r="B17" s="13" t="inlineStr">
        <is>
          <t>EC 103/2019, art. 19</t>
        </is>
      </c>
      <c r="C17" s="13" t="inlineStr">
        <is>
          <t>não</t>
        </is>
      </c>
      <c r="D17" s="13" t="inlineStr">
        <is>
          <t>10/05/2027</t>
        </is>
      </c>
      <c r="E17" s="13" t="inlineStr">
        <is>
          <t>idade 61a 9m 20d (mín. 65a); TC 42a 5m 24d (mín. 20a); carência 441/180</t>
        </is>
      </c>
      <c r="F17" s="13" t="inlineStr">
        <is>
          <t>idade 65a 0m 0d (mín. 65a); TC 45a 8m 3d (mín. 20a); carência 480/180</t>
        </is>
      </c>
      <c r="G17" s="13" t="inlineStr">
        <is>
          <t>10/05/2027</t>
        </is>
      </c>
      <c r="H17" s="14" t="n">
        <v>4336.74</v>
      </c>
      <c r="I17" s="13" t="n">
        <v>104</v>
      </c>
      <c r="J17" s="13" t="n"/>
      <c r="K17" s="14" t="n">
        <v>4510.21</v>
      </c>
    </row>
    <row r="19">
      <c r="A19" s="2" t="inlineStr">
        <is>
          <t>Regra mais vantajosa: Transição - pedágio 50%</t>
        </is>
      </c>
    </row>
    <row r="20">
      <c r="A20" t="inlineStr">
        <is>
          <t>Datas posteriores à DER supõem contribuições contínuas após o último vínculo (reafirmação da DER, Tema 995/STJ).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Salários de Contribuição (PBC desde 07/1994) e Média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7" ht="32" customHeight="1">
      <c r="A7" s="11" t="inlineStr">
        <is>
          <t>Competência</t>
        </is>
      </c>
      <c r="B7" s="11" t="inlineStr">
        <is>
          <t>Salário (CNIS)</t>
        </is>
      </c>
      <c r="C7" s="11" t="inlineStr">
        <is>
          <t>Teto</t>
        </is>
      </c>
      <c r="D7" s="11" t="inlineStr">
        <is>
          <t>Salário limitado</t>
        </is>
      </c>
      <c r="E7" s="11" t="inlineStr">
        <is>
          <t>Fator de correção</t>
        </is>
      </c>
      <c r="F7" s="11" t="inlineStr">
        <is>
          <t>Salário corrigido</t>
        </is>
      </c>
    </row>
    <row r="8">
      <c r="A8" s="8" t="inlineStr">
        <is>
          <t>07/1994</t>
        </is>
      </c>
      <c r="B8" s="4" t="n">
        <v>1500</v>
      </c>
      <c r="C8" s="4" t="n"/>
      <c r="D8" s="4">
        <f>IF(C8="",B8,MIN(B8,C8))</f>
        <v/>
      </c>
      <c r="E8" s="17" t="n"/>
      <c r="F8" s="4" t="n">
        <v>2850</v>
      </c>
    </row>
    <row r="9">
      <c r="A9" s="8" t="inlineStr">
        <is>
          <t>08/1994</t>
        </is>
      </c>
      <c r="B9" s="4" t="n">
        <v>1500</v>
      </c>
      <c r="C9" s="4" t="n"/>
      <c r="D9" s="4">
        <f>IF(C9="",B9,MIN(B9,C9))</f>
        <v/>
      </c>
      <c r="E9" s="17" t="n"/>
      <c r="F9" s="4" t="n">
        <v>2850</v>
      </c>
    </row>
    <row r="10">
      <c r="A10" s="8" t="inlineStr">
        <is>
          <t>09/1994</t>
        </is>
      </c>
      <c r="B10" s="4" t="n">
        <v>1500</v>
      </c>
      <c r="C10" s="4" t="n"/>
      <c r="D10" s="4">
        <f>IF(C10="",B10,MIN(B10,C10))</f>
        <v/>
      </c>
      <c r="E10" s="17" t="n"/>
      <c r="F10" s="4" t="n">
        <v>2850</v>
      </c>
    </row>
    <row r="11">
      <c r="A11" s="8" t="inlineStr">
        <is>
          <t>10/1994</t>
        </is>
      </c>
      <c r="B11" s="4" t="n">
        <v>1500</v>
      </c>
      <c r="C11" s="4" t="n"/>
      <c r="D11" s="4">
        <f>IF(C11="",B11,MIN(B11,C11))</f>
        <v/>
      </c>
      <c r="E11" s="17" t="n"/>
      <c r="F11" s="4" t="n">
        <v>2850</v>
      </c>
    </row>
    <row r="12">
      <c r="A12" s="8" t="inlineStr">
        <is>
          <t>11/1994</t>
        </is>
      </c>
      <c r="B12" s="4" t="n">
        <v>1500</v>
      </c>
      <c r="C12" s="4" t="n"/>
      <c r="D12" s="4">
        <f>IF(C12="",B12,MIN(B12,C12))</f>
        <v/>
      </c>
      <c r="E12" s="17" t="n"/>
      <c r="F12" s="4" t="n">
        <v>2850</v>
      </c>
    </row>
    <row r="13">
      <c r="A13" s="8" t="inlineStr">
        <is>
          <t>12/1994</t>
        </is>
      </c>
      <c r="B13" s="4" t="n">
        <v>1500</v>
      </c>
      <c r="C13" s="4" t="n"/>
      <c r="D13" s="4">
        <f>IF(C13="",B13,MIN(B13,C13))</f>
        <v/>
      </c>
      <c r="E13" s="17" t="n"/>
      <c r="F13" s="4" t="n">
        <v>2850</v>
      </c>
    </row>
    <row r="14">
      <c r="A14" s="8" t="inlineStr">
        <is>
          <t>01/1995</t>
        </is>
      </c>
      <c r="B14" s="4" t="n">
        <v>1580</v>
      </c>
      <c r="C14" s="4" t="n"/>
      <c r="D14" s="4">
        <f>IF(C14="",B14,MIN(B14,C14))</f>
        <v/>
      </c>
      <c r="E14" s="17" t="n"/>
      <c r="F14" s="4" t="n">
        <v>2962</v>
      </c>
    </row>
    <row r="15">
      <c r="A15" s="8" t="inlineStr">
        <is>
          <t>02/1995</t>
        </is>
      </c>
      <c r="B15" s="4" t="n">
        <v>1580</v>
      </c>
      <c r="C15" s="4" t="n"/>
      <c r="D15" s="4">
        <f>IF(C15="",B15,MIN(B15,C15))</f>
        <v/>
      </c>
      <c r="E15" s="17" t="n"/>
      <c r="F15" s="4" t="n">
        <v>2962</v>
      </c>
    </row>
    <row r="16">
      <c r="A16" s="8" t="inlineStr">
        <is>
          <t>03/1995</t>
        </is>
      </c>
      <c r="B16" s="4" t="n">
        <v>1580</v>
      </c>
      <c r="C16" s="4" t="n"/>
      <c r="D16" s="4">
        <f>IF(C16="",B16,MIN(B16,C16))</f>
        <v/>
      </c>
      <c r="E16" s="17" t="n"/>
      <c r="F16" s="4" t="n">
        <v>2962</v>
      </c>
    </row>
    <row r="17">
      <c r="A17" s="8" t="inlineStr">
        <is>
          <t>04/1995</t>
        </is>
      </c>
      <c r="B17" s="4" t="n">
        <v>1580</v>
      </c>
      <c r="C17" s="4" t="n"/>
      <c r="D17" s="4">
        <f>IF(C17="",B17,MIN(B17,C17))</f>
        <v/>
      </c>
      <c r="E17" s="17" t="n"/>
      <c r="F17" s="4" t="n">
        <v>2962</v>
      </c>
    </row>
    <row r="18">
      <c r="A18" s="8" t="inlineStr">
        <is>
          <t>05/1995</t>
        </is>
      </c>
      <c r="B18" s="4" t="n">
        <v>1580</v>
      </c>
      <c r="C18" s="4" t="n"/>
      <c r="D18" s="4">
        <f>IF(C18="",B18,MIN(B18,C18))</f>
        <v/>
      </c>
      <c r="E18" s="17" t="n"/>
      <c r="F18" s="4" t="n">
        <v>2962</v>
      </c>
    </row>
    <row r="19">
      <c r="A19" s="8" t="inlineStr">
        <is>
          <t>06/1995</t>
        </is>
      </c>
      <c r="B19" s="4" t="n">
        <v>1580</v>
      </c>
      <c r="C19" s="4" t="n"/>
      <c r="D19" s="4">
        <f>IF(C19="",B19,MIN(B19,C19))</f>
        <v/>
      </c>
      <c r="E19" s="17" t="n"/>
      <c r="F19" s="4" t="n">
        <v>2962</v>
      </c>
    </row>
    <row r="20">
      <c r="A20" s="8" t="inlineStr">
        <is>
          <t>07/1995</t>
        </is>
      </c>
      <c r="B20" s="4" t="n">
        <v>1580</v>
      </c>
      <c r="C20" s="4" t="n"/>
      <c r="D20" s="4">
        <f>IF(C20="",B20,MIN(B20,C20))</f>
        <v/>
      </c>
      <c r="E20" s="17" t="n"/>
      <c r="F20" s="4" t="n">
        <v>2962</v>
      </c>
    </row>
    <row r="21">
      <c r="A21" s="8" t="inlineStr">
        <is>
          <t>08/1995</t>
        </is>
      </c>
      <c r="B21" s="4" t="n">
        <v>1580</v>
      </c>
      <c r="C21" s="4" t="n"/>
      <c r="D21" s="4">
        <f>IF(C21="",B21,MIN(B21,C21))</f>
        <v/>
      </c>
      <c r="E21" s="17" t="n"/>
      <c r="F21" s="4" t="n">
        <v>2962</v>
      </c>
    </row>
    <row r="22">
      <c r="A22" s="8" t="inlineStr">
        <is>
          <t>09/1995</t>
        </is>
      </c>
      <c r="B22" s="4" t="n">
        <v>1580</v>
      </c>
      <c r="C22" s="4" t="n"/>
      <c r="D22" s="4">
        <f>IF(C22="",B22,MIN(B22,C22))</f>
        <v/>
      </c>
      <c r="E22" s="17" t="n"/>
      <c r="F22" s="4" t="n">
        <v>2962</v>
      </c>
    </row>
    <row r="23">
      <c r="A23" s="8" t="inlineStr">
        <is>
          <t>10/1995</t>
        </is>
      </c>
      <c r="B23" s="4" t="n">
        <v>1580</v>
      </c>
      <c r="C23" s="4" t="n"/>
      <c r="D23" s="4">
        <f>IF(C23="",B23,MIN(B23,C23))</f>
        <v/>
      </c>
      <c r="E23" s="17" t="n"/>
      <c r="F23" s="4" t="n">
        <v>2962</v>
      </c>
    </row>
    <row r="24">
      <c r="A24" s="8" t="inlineStr">
        <is>
          <t>11/1995</t>
        </is>
      </c>
      <c r="B24" s="4" t="n">
        <v>1580</v>
      </c>
      <c r="C24" s="4" t="n"/>
      <c r="D24" s="4">
        <f>IF(C24="",B24,MIN(B24,C24))</f>
        <v/>
      </c>
      <c r="E24" s="17" t="n"/>
      <c r="F24" s="4" t="n">
        <v>2962</v>
      </c>
    </row>
    <row r="25">
      <c r="A25" s="8" t="inlineStr">
        <is>
          <t>12/1995</t>
        </is>
      </c>
      <c r="B25" s="4" t="n">
        <v>1580</v>
      </c>
      <c r="C25" s="4" t="n"/>
      <c r="D25" s="4">
        <f>IF(C25="",B25,MIN(B25,C25))</f>
        <v/>
      </c>
      <c r="E25" s="17" t="n"/>
      <c r="F25" s="4" t="n">
        <v>2962</v>
      </c>
    </row>
    <row r="26">
      <c r="A26" s="8" t="inlineStr">
        <is>
          <t>01/1996</t>
        </is>
      </c>
      <c r="B26" s="4" t="n">
        <v>1660</v>
      </c>
      <c r="C26" s="4" t="n"/>
      <c r="D26" s="4">
        <f>IF(C26="",B26,MIN(B26,C26))</f>
        <v/>
      </c>
      <c r="E26" s="17" t="n"/>
      <c r="F26" s="4" t="n">
        <v>3074</v>
      </c>
    </row>
    <row r="27">
      <c r="A27" s="8" t="inlineStr">
        <is>
          <t>02/1996</t>
        </is>
      </c>
      <c r="B27" s="4" t="n">
        <v>1660</v>
      </c>
      <c r="C27" s="4" t="n"/>
      <c r="D27" s="4">
        <f>IF(C27="",B27,MIN(B27,C27))</f>
        <v/>
      </c>
      <c r="E27" s="17" t="n"/>
      <c r="F27" s="4" t="n">
        <v>3074</v>
      </c>
    </row>
    <row r="28">
      <c r="A28" s="8" t="inlineStr">
        <is>
          <t>03/1996</t>
        </is>
      </c>
      <c r="B28" s="4" t="n">
        <v>1660</v>
      </c>
      <c r="C28" s="4" t="n"/>
      <c r="D28" s="4">
        <f>IF(C28="",B28,MIN(B28,C28))</f>
        <v/>
      </c>
      <c r="E28" s="17" t="n"/>
      <c r="F28" s="4" t="n">
        <v>3074</v>
      </c>
    </row>
    <row r="29">
      <c r="A29" s="8" t="inlineStr">
        <is>
          <t>04/1996</t>
        </is>
      </c>
      <c r="B29" s="4" t="n">
        <v>1660</v>
      </c>
      <c r="C29" s="4" t="n"/>
      <c r="D29" s="4">
        <f>IF(C29="",B29,MIN(B29,C29))</f>
        <v/>
      </c>
      <c r="E29" s="17" t="n"/>
      <c r="F29" s="4" t="n">
        <v>3074</v>
      </c>
    </row>
    <row r="30">
      <c r="A30" s="8" t="inlineStr">
        <is>
          <t>05/1996</t>
        </is>
      </c>
      <c r="B30" s="4" t="n">
        <v>1660</v>
      </c>
      <c r="C30" s="4" t="n"/>
      <c r="D30" s="4">
        <f>IF(C30="",B30,MIN(B30,C30))</f>
        <v/>
      </c>
      <c r="E30" s="17" t="n"/>
      <c r="F30" s="4" t="n">
        <v>3074</v>
      </c>
    </row>
    <row r="31">
      <c r="A31" s="8" t="inlineStr">
        <is>
          <t>06/1996</t>
        </is>
      </c>
      <c r="B31" s="4" t="n">
        <v>1660</v>
      </c>
      <c r="C31" s="4" t="n"/>
      <c r="D31" s="4">
        <f>IF(C31="",B31,MIN(B31,C31))</f>
        <v/>
      </c>
      <c r="E31" s="17" t="n"/>
      <c r="F31" s="4" t="n">
        <v>3074</v>
      </c>
    </row>
    <row r="32">
      <c r="A32" s="8" t="inlineStr">
        <is>
          <t>07/1996</t>
        </is>
      </c>
      <c r="B32" s="4" t="n">
        <v>1660</v>
      </c>
      <c r="C32" s="4" t="n"/>
      <c r="D32" s="4">
        <f>IF(C32="",B32,MIN(B32,C32))</f>
        <v/>
      </c>
      <c r="E32" s="17" t="n"/>
      <c r="F32" s="4" t="n">
        <v>3074</v>
      </c>
    </row>
    <row r="33">
      <c r="A33" s="8" t="inlineStr">
        <is>
          <t>08/1996</t>
        </is>
      </c>
      <c r="B33" s="4" t="n">
        <v>1660</v>
      </c>
      <c r="C33" s="4" t="n"/>
      <c r="D33" s="4">
        <f>IF(C33="",B33,MIN(B33,C33))</f>
        <v/>
      </c>
      <c r="E33" s="17" t="n"/>
      <c r="F33" s="4" t="n">
        <v>3074</v>
      </c>
    </row>
    <row r="34">
      <c r="A34" s="8" t="inlineStr">
        <is>
          <t>09/1996</t>
        </is>
      </c>
      <c r="B34" s="4" t="n">
        <v>1660</v>
      </c>
      <c r="C34" s="4" t="n"/>
      <c r="D34" s="4">
        <f>IF(C34="",B34,MIN(B34,C34))</f>
        <v/>
      </c>
      <c r="E34" s="17" t="n"/>
      <c r="F34" s="4" t="n">
        <v>3074</v>
      </c>
    </row>
    <row r="35">
      <c r="A35" s="8" t="inlineStr">
        <is>
          <t>10/1996</t>
        </is>
      </c>
      <c r="B35" s="4" t="n">
        <v>1660</v>
      </c>
      <c r="C35" s="4" t="n"/>
      <c r="D35" s="4">
        <f>IF(C35="",B35,MIN(B35,C35))</f>
        <v/>
      </c>
      <c r="E35" s="17" t="n"/>
      <c r="F35" s="4" t="n">
        <v>3074</v>
      </c>
    </row>
    <row r="36">
      <c r="A36" s="8" t="inlineStr">
        <is>
          <t>11/1996</t>
        </is>
      </c>
      <c r="B36" s="4" t="n">
        <v>1660</v>
      </c>
      <c r="C36" s="4" t="n"/>
      <c r="D36" s="4">
        <f>IF(C36="",B36,MIN(B36,C36))</f>
        <v/>
      </c>
      <c r="E36" s="17" t="n"/>
      <c r="F36" s="4" t="n">
        <v>3074</v>
      </c>
    </row>
    <row r="37">
      <c r="A37" s="8" t="inlineStr">
        <is>
          <t>12/1996</t>
        </is>
      </c>
      <c r="B37" s="4" t="n">
        <v>1660</v>
      </c>
      <c r="C37" s="4" t="n"/>
      <c r="D37" s="4">
        <f>IF(C37="",B37,MIN(B37,C37))</f>
        <v/>
      </c>
      <c r="E37" s="17" t="n"/>
      <c r="F37" s="4" t="n">
        <v>3074</v>
      </c>
    </row>
    <row r="38">
      <c r="A38" s="8" t="inlineStr">
        <is>
          <t>01/1997</t>
        </is>
      </c>
      <c r="B38" s="4" t="n">
        <v>1740</v>
      </c>
      <c r="C38" s="4" t="n"/>
      <c r="D38" s="4">
        <f>IF(C38="",B38,MIN(B38,C38))</f>
        <v/>
      </c>
      <c r="E38" s="17" t="n"/>
      <c r="F38" s="4" t="n">
        <v>3186</v>
      </c>
    </row>
    <row r="39">
      <c r="A39" s="8" t="inlineStr">
        <is>
          <t>02/1997</t>
        </is>
      </c>
      <c r="B39" s="4" t="n">
        <v>1740</v>
      </c>
      <c r="C39" s="4" t="n"/>
      <c r="D39" s="4">
        <f>IF(C39="",B39,MIN(B39,C39))</f>
        <v/>
      </c>
      <c r="E39" s="17" t="n"/>
      <c r="F39" s="4" t="n">
        <v>3186</v>
      </c>
    </row>
    <row r="40">
      <c r="A40" s="8" t="inlineStr">
        <is>
          <t>03/1997</t>
        </is>
      </c>
      <c r="B40" s="4" t="n">
        <v>1740</v>
      </c>
      <c r="C40" s="4" t="n"/>
      <c r="D40" s="4">
        <f>IF(C40="",B40,MIN(B40,C40))</f>
        <v/>
      </c>
      <c r="E40" s="17" t="n"/>
      <c r="F40" s="4" t="n">
        <v>3186</v>
      </c>
    </row>
    <row r="41">
      <c r="A41" s="8" t="inlineStr">
        <is>
          <t>04/1997</t>
        </is>
      </c>
      <c r="B41" s="4" t="n">
        <v>1740</v>
      </c>
      <c r="C41" s="4" t="n"/>
      <c r="D41" s="4">
        <f>IF(C41="",B41,MIN(B41,C41))</f>
        <v/>
      </c>
      <c r="E41" s="17" t="n"/>
      <c r="F41" s="4" t="n">
        <v>3186</v>
      </c>
    </row>
    <row r="42">
      <c r="A42" s="8" t="inlineStr">
        <is>
          <t>05/1997</t>
        </is>
      </c>
      <c r="B42" s="4" t="n">
        <v>1740</v>
      </c>
      <c r="C42" s="4" t="n"/>
      <c r="D42" s="4">
        <f>IF(C42="",B42,MIN(B42,C42))</f>
        <v/>
      </c>
      <c r="E42" s="17" t="n"/>
      <c r="F42" s="4" t="n">
        <v>3186</v>
      </c>
    </row>
    <row r="43">
      <c r="A43" s="8" t="inlineStr">
        <is>
          <t>06/1997</t>
        </is>
      </c>
      <c r="B43" s="4" t="n">
        <v>1740</v>
      </c>
      <c r="C43" s="4" t="n"/>
      <c r="D43" s="4">
        <f>IF(C43="",B43,MIN(B43,C43))</f>
        <v/>
      </c>
      <c r="E43" s="17" t="n"/>
      <c r="F43" s="4" t="n">
        <v>3186</v>
      </c>
    </row>
    <row r="44">
      <c r="A44" s="8" t="inlineStr">
        <is>
          <t>07/1997</t>
        </is>
      </c>
      <c r="B44" s="4" t="n">
        <v>1740</v>
      </c>
      <c r="C44" s="4" t="n"/>
      <c r="D44" s="4">
        <f>IF(C44="",B44,MIN(B44,C44))</f>
        <v/>
      </c>
      <c r="E44" s="17" t="n"/>
      <c r="F44" s="4" t="n">
        <v>3186</v>
      </c>
    </row>
    <row r="45">
      <c r="A45" s="8" t="inlineStr">
        <is>
          <t>08/1997</t>
        </is>
      </c>
      <c r="B45" s="4" t="n">
        <v>1740</v>
      </c>
      <c r="C45" s="4" t="n"/>
      <c r="D45" s="4">
        <f>IF(C45="",B45,MIN(B45,C45))</f>
        <v/>
      </c>
      <c r="E45" s="17" t="n"/>
      <c r="F45" s="4" t="n">
        <v>3186</v>
      </c>
    </row>
    <row r="46">
      <c r="A46" s="8" t="inlineStr">
        <is>
          <t>09/1997</t>
        </is>
      </c>
      <c r="B46" s="4" t="n">
        <v>1740</v>
      </c>
      <c r="C46" s="4" t="n"/>
      <c r="D46" s="4">
        <f>IF(C46="",B46,MIN(B46,C46))</f>
        <v/>
      </c>
      <c r="E46" s="17" t="n"/>
      <c r="F46" s="4" t="n">
        <v>3186</v>
      </c>
    </row>
    <row r="47">
      <c r="A47" s="8" t="inlineStr">
        <is>
          <t>10/1997</t>
        </is>
      </c>
      <c r="B47" s="4" t="n">
        <v>1740</v>
      </c>
      <c r="C47" s="4" t="n"/>
      <c r="D47" s="4">
        <f>IF(C47="",B47,MIN(B47,C47))</f>
        <v/>
      </c>
      <c r="E47" s="17" t="n"/>
      <c r="F47" s="4" t="n">
        <v>3186</v>
      </c>
    </row>
    <row r="48">
      <c r="A48" s="8" t="inlineStr">
        <is>
          <t>11/1997</t>
        </is>
      </c>
      <c r="B48" s="4" t="n">
        <v>1740</v>
      </c>
      <c r="C48" s="4" t="n"/>
      <c r="D48" s="4">
        <f>IF(C48="",B48,MIN(B48,C48))</f>
        <v/>
      </c>
      <c r="E48" s="17" t="n"/>
      <c r="F48" s="4" t="n">
        <v>3186</v>
      </c>
    </row>
    <row r="49">
      <c r="A49" s="8" t="inlineStr">
        <is>
          <t>12/1997</t>
        </is>
      </c>
      <c r="B49" s="4" t="n">
        <v>1740</v>
      </c>
      <c r="C49" s="4" t="n"/>
      <c r="D49" s="4">
        <f>IF(C49="",B49,MIN(B49,C49))</f>
        <v/>
      </c>
      <c r="E49" s="17" t="n"/>
      <c r="F49" s="4" t="n">
        <v>3186</v>
      </c>
    </row>
    <row r="50">
      <c r="A50" s="8" t="inlineStr">
        <is>
          <t>01/1998</t>
        </is>
      </c>
      <c r="B50" s="4" t="n">
        <v>1820</v>
      </c>
      <c r="C50" s="4" t="n"/>
      <c r="D50" s="4">
        <f>IF(C50="",B50,MIN(B50,C50))</f>
        <v/>
      </c>
      <c r="E50" s="17" t="n"/>
      <c r="F50" s="4" t="n">
        <v>3298</v>
      </c>
    </row>
    <row r="51">
      <c r="A51" s="8" t="inlineStr">
        <is>
          <t>02/1998</t>
        </is>
      </c>
      <c r="B51" s="4" t="n">
        <v>1820</v>
      </c>
      <c r="C51" s="4" t="n"/>
      <c r="D51" s="4">
        <f>IF(C51="",B51,MIN(B51,C51))</f>
        <v/>
      </c>
      <c r="E51" s="17" t="n"/>
      <c r="F51" s="4" t="n">
        <v>3298</v>
      </c>
    </row>
    <row r="52">
      <c r="A52" s="8" t="inlineStr">
        <is>
          <t>03/1998</t>
        </is>
      </c>
      <c r="B52" s="4" t="n">
        <v>1820</v>
      </c>
      <c r="C52" s="4" t="n"/>
      <c r="D52" s="4">
        <f>IF(C52="",B52,MIN(B52,C52))</f>
        <v/>
      </c>
      <c r="E52" s="17" t="n"/>
      <c r="F52" s="4" t="n">
        <v>3298</v>
      </c>
    </row>
    <row r="53">
      <c r="A53" s="8" t="inlineStr">
        <is>
          <t>04/1998</t>
        </is>
      </c>
      <c r="B53" s="4" t="n">
        <v>1820</v>
      </c>
      <c r="C53" s="4" t="n"/>
      <c r="D53" s="4">
        <f>IF(C53="",B53,MIN(B53,C53))</f>
        <v/>
      </c>
      <c r="E53" s="17" t="n"/>
      <c r="F53" s="4" t="n">
        <v>3298</v>
      </c>
    </row>
    <row r="54">
      <c r="A54" s="8" t="inlineStr">
        <is>
          <t>05/1998</t>
        </is>
      </c>
      <c r="B54" s="4" t="n">
        <v>1820</v>
      </c>
      <c r="C54" s="4" t="n"/>
      <c r="D54" s="4">
        <f>IF(C54="",B54,MIN(B54,C54))</f>
        <v/>
      </c>
      <c r="E54" s="17" t="n"/>
      <c r="F54" s="4" t="n">
        <v>3298</v>
      </c>
    </row>
    <row r="55">
      <c r="A55" s="8" t="inlineStr">
        <is>
          <t>06/1998</t>
        </is>
      </c>
      <c r="B55" s="4" t="n">
        <v>1820</v>
      </c>
      <c r="C55" s="4" t="n"/>
      <c r="D55" s="4">
        <f>IF(C55="",B55,MIN(B55,C55))</f>
        <v/>
      </c>
      <c r="E55" s="17" t="n"/>
      <c r="F55" s="4" t="n">
        <v>3298</v>
      </c>
    </row>
    <row r="56">
      <c r="A56" s="8" t="inlineStr">
        <is>
          <t>08/1998</t>
        </is>
      </c>
      <c r="B56" s="4" t="n">
        <v>1820</v>
      </c>
      <c r="C56" s="4" t="n"/>
      <c r="D56" s="4">
        <f>IF(C56="",B56,MIN(B56,C56))</f>
        <v/>
      </c>
      <c r="E56" s="17" t="n"/>
      <c r="F56" s="4" t="n">
        <v>3298</v>
      </c>
    </row>
    <row r="57">
      <c r="A57" s="8" t="inlineStr">
        <is>
          <t>09/1998</t>
        </is>
      </c>
      <c r="B57" s="4" t="n">
        <v>1820</v>
      </c>
      <c r="C57" s="4" t="n"/>
      <c r="D57" s="4">
        <f>IF(C57="",B57,MIN(B57,C57))</f>
        <v/>
      </c>
      <c r="E57" s="17" t="n"/>
      <c r="F57" s="4" t="n">
        <v>3298</v>
      </c>
    </row>
    <row r="58">
      <c r="A58" s="8" t="inlineStr">
        <is>
          <t>10/1998</t>
        </is>
      </c>
      <c r="B58" s="4" t="n">
        <v>1820</v>
      </c>
      <c r="C58" s="4" t="n"/>
      <c r="D58" s="4">
        <f>IF(C58="",B58,MIN(B58,C58))</f>
        <v/>
      </c>
      <c r="E58" s="17" t="n"/>
      <c r="F58" s="4" t="n">
        <v>3298</v>
      </c>
    </row>
    <row r="59">
      <c r="A59" s="8" t="inlineStr">
        <is>
          <t>11/1998</t>
        </is>
      </c>
      <c r="B59" s="4" t="n">
        <v>1820</v>
      </c>
      <c r="C59" s="4" t="n"/>
      <c r="D59" s="4">
        <f>IF(C59="",B59,MIN(B59,C59))</f>
        <v/>
      </c>
      <c r="E59" s="17" t="n"/>
      <c r="F59" s="4" t="n">
        <v>3298</v>
      </c>
    </row>
    <row r="60">
      <c r="A60" s="8" t="inlineStr">
        <is>
          <t>12/1998</t>
        </is>
      </c>
      <c r="B60" s="4" t="n">
        <v>1820</v>
      </c>
      <c r="C60" s="4" t="n"/>
      <c r="D60" s="4">
        <f>IF(C60="",B60,MIN(B60,C60))</f>
        <v/>
      </c>
      <c r="E60" s="17" t="n"/>
      <c r="F60" s="4" t="n">
        <v>3298</v>
      </c>
    </row>
    <row r="61">
      <c r="A61" s="8" t="inlineStr">
        <is>
          <t>01/1999</t>
        </is>
      </c>
      <c r="B61" s="4" t="n">
        <v>1900</v>
      </c>
      <c r="C61" s="4" t="n"/>
      <c r="D61" s="4">
        <f>IF(C61="",B61,MIN(B61,C61))</f>
        <v/>
      </c>
      <c r="E61" s="17" t="n"/>
      <c r="F61" s="4" t="n">
        <v>3410</v>
      </c>
    </row>
    <row r="62">
      <c r="A62" s="8" t="inlineStr">
        <is>
          <t>02/1999</t>
        </is>
      </c>
      <c r="B62" s="4" t="n">
        <v>1900</v>
      </c>
      <c r="C62" s="4" t="n"/>
      <c r="D62" s="4">
        <f>IF(C62="",B62,MIN(B62,C62))</f>
        <v/>
      </c>
      <c r="E62" s="17" t="n"/>
      <c r="F62" s="4" t="n">
        <v>3410</v>
      </c>
    </row>
    <row r="63">
      <c r="A63" s="8" t="inlineStr">
        <is>
          <t>03/1999</t>
        </is>
      </c>
      <c r="B63" s="4" t="n">
        <v>1900</v>
      </c>
      <c r="C63" s="4" t="n"/>
      <c r="D63" s="4">
        <f>IF(C63="",B63,MIN(B63,C63))</f>
        <v/>
      </c>
      <c r="E63" s="17" t="n"/>
      <c r="F63" s="4" t="n">
        <v>3410</v>
      </c>
    </row>
    <row r="64">
      <c r="A64" s="8" t="inlineStr">
        <is>
          <t>04/1999</t>
        </is>
      </c>
      <c r="B64" s="4" t="n">
        <v>1900</v>
      </c>
      <c r="C64" s="4" t="n"/>
      <c r="D64" s="4">
        <f>IF(C64="",B64,MIN(B64,C64))</f>
        <v/>
      </c>
      <c r="E64" s="17" t="n"/>
      <c r="F64" s="4" t="n">
        <v>3410</v>
      </c>
    </row>
    <row r="65">
      <c r="A65" s="8" t="inlineStr">
        <is>
          <t>05/1999</t>
        </is>
      </c>
      <c r="B65" s="4" t="n">
        <v>1900</v>
      </c>
      <c r="C65" s="4" t="n"/>
      <c r="D65" s="4">
        <f>IF(C65="",B65,MIN(B65,C65))</f>
        <v/>
      </c>
      <c r="E65" s="17" t="n"/>
      <c r="F65" s="4" t="n">
        <v>3410</v>
      </c>
    </row>
    <row r="66">
      <c r="A66" s="8" t="inlineStr">
        <is>
          <t>06/1999</t>
        </is>
      </c>
      <c r="B66" s="4" t="n">
        <v>1900</v>
      </c>
      <c r="C66" s="4" t="n"/>
      <c r="D66" s="4">
        <f>IF(C66="",B66,MIN(B66,C66))</f>
        <v/>
      </c>
      <c r="E66" s="17" t="n"/>
      <c r="F66" s="4" t="n">
        <v>3410</v>
      </c>
    </row>
    <row r="67">
      <c r="A67" s="8" t="inlineStr">
        <is>
          <t>07/1999</t>
        </is>
      </c>
      <c r="B67" s="4" t="n">
        <v>1900</v>
      </c>
      <c r="C67" s="4" t="n"/>
      <c r="D67" s="4">
        <f>IF(C67="",B67,MIN(B67,C67))</f>
        <v/>
      </c>
      <c r="E67" s="17" t="n"/>
      <c r="F67" s="4" t="n">
        <v>3410</v>
      </c>
    </row>
    <row r="68">
      <c r="A68" s="8" t="inlineStr">
        <is>
          <t>08/1999</t>
        </is>
      </c>
      <c r="B68" s="4" t="n">
        <v>1900</v>
      </c>
      <c r="C68" s="4" t="n"/>
      <c r="D68" s="4">
        <f>IF(C68="",B68,MIN(B68,C68))</f>
        <v/>
      </c>
      <c r="E68" s="17" t="n"/>
      <c r="F68" s="4" t="n">
        <v>3410</v>
      </c>
    </row>
    <row r="69">
      <c r="A69" s="8" t="inlineStr">
        <is>
          <t>09/1999</t>
        </is>
      </c>
      <c r="B69" s="4" t="n">
        <v>1900</v>
      </c>
      <c r="C69" s="4" t="n"/>
      <c r="D69" s="4">
        <f>IF(C69="",B69,MIN(B69,C69))</f>
        <v/>
      </c>
      <c r="E69" s="17" t="n"/>
      <c r="F69" s="4" t="n">
        <v>3410</v>
      </c>
    </row>
    <row r="70">
      <c r="A70" s="8" t="inlineStr">
        <is>
          <t>10/1999</t>
        </is>
      </c>
      <c r="B70" s="4" t="n">
        <v>1900</v>
      </c>
      <c r="C70" s="4" t="n"/>
      <c r="D70" s="4">
        <f>IF(C70="",B70,MIN(B70,C70))</f>
        <v/>
      </c>
      <c r="E70" s="17" t="n"/>
      <c r="F70" s="4" t="n">
        <v>3410</v>
      </c>
    </row>
    <row r="71">
      <c r="A71" s="8" t="inlineStr">
        <is>
          <t>11/1999</t>
        </is>
      </c>
      <c r="B71" s="4" t="n">
        <v>1900</v>
      </c>
      <c r="C71" s="4" t="n"/>
      <c r="D71" s="4">
        <f>IF(C71="",B71,MIN(B71,C71))</f>
        <v/>
      </c>
      <c r="E71" s="17" t="n"/>
      <c r="F71" s="4" t="n">
        <v>3410</v>
      </c>
    </row>
    <row r="72">
      <c r="A72" s="8" t="inlineStr">
        <is>
          <t>12/1999</t>
        </is>
      </c>
      <c r="B72" s="4" t="n">
        <v>1900</v>
      </c>
      <c r="C72" s="4" t="n"/>
      <c r="D72" s="4">
        <f>IF(C72="",B72,MIN(B72,C72))</f>
        <v/>
      </c>
      <c r="E72" s="17" t="n"/>
      <c r="F72" s="4" t="n">
        <v>3410</v>
      </c>
    </row>
    <row r="73">
      <c r="A73" s="8" t="inlineStr">
        <is>
          <t>01/2000</t>
        </is>
      </c>
      <c r="B73" s="4" t="n">
        <v>1980</v>
      </c>
      <c r="C73" s="4" t="n"/>
      <c r="D73" s="4">
        <f>IF(C73="",B73,MIN(B73,C73))</f>
        <v/>
      </c>
      <c r="E73" s="17" t="n"/>
      <c r="F73" s="4" t="n">
        <v>3522</v>
      </c>
    </row>
    <row r="74">
      <c r="A74" s="8" t="inlineStr">
        <is>
          <t>02/2000</t>
        </is>
      </c>
      <c r="B74" s="4" t="n">
        <v>1980</v>
      </c>
      <c r="C74" s="4" t="n"/>
      <c r="D74" s="4">
        <f>IF(C74="",B74,MIN(B74,C74))</f>
        <v/>
      </c>
      <c r="E74" s="17" t="n"/>
      <c r="F74" s="4" t="n">
        <v>3522</v>
      </c>
    </row>
    <row r="75">
      <c r="A75" s="8" t="inlineStr">
        <is>
          <t>03/2000</t>
        </is>
      </c>
      <c r="B75" s="4" t="n">
        <v>1980</v>
      </c>
      <c r="C75" s="4" t="n"/>
      <c r="D75" s="4">
        <f>IF(C75="",B75,MIN(B75,C75))</f>
        <v/>
      </c>
      <c r="E75" s="17" t="n"/>
      <c r="F75" s="4" t="n">
        <v>3522</v>
      </c>
    </row>
    <row r="76">
      <c r="A76" s="8" t="inlineStr">
        <is>
          <t>04/2000</t>
        </is>
      </c>
      <c r="B76" s="4" t="n">
        <v>1980</v>
      </c>
      <c r="C76" s="4" t="n"/>
      <c r="D76" s="4">
        <f>IF(C76="",B76,MIN(B76,C76))</f>
        <v/>
      </c>
      <c r="E76" s="17" t="n"/>
      <c r="F76" s="4" t="n">
        <v>3522</v>
      </c>
    </row>
    <row r="77">
      <c r="A77" s="8" t="inlineStr">
        <is>
          <t>05/2000</t>
        </is>
      </c>
      <c r="B77" s="4" t="n">
        <v>1980</v>
      </c>
      <c r="C77" s="4" t="n"/>
      <c r="D77" s="4">
        <f>IF(C77="",B77,MIN(B77,C77))</f>
        <v/>
      </c>
      <c r="E77" s="17" t="n"/>
      <c r="F77" s="4" t="n">
        <v>3522</v>
      </c>
    </row>
    <row r="78">
      <c r="A78" s="8" t="inlineStr">
        <is>
          <t>06/2000</t>
        </is>
      </c>
      <c r="B78" s="4" t="n">
        <v>1980</v>
      </c>
      <c r="C78" s="4" t="n"/>
      <c r="D78" s="4">
        <f>IF(C78="",B78,MIN(B78,C78))</f>
        <v/>
      </c>
      <c r="E78" s="17" t="n"/>
      <c r="F78" s="4" t="n">
        <v>3522</v>
      </c>
    </row>
    <row r="79">
      <c r="A79" s="8" t="inlineStr">
        <is>
          <t>07/2000</t>
        </is>
      </c>
      <c r="B79" s="4" t="n">
        <v>1980</v>
      </c>
      <c r="C79" s="4" t="n"/>
      <c r="D79" s="4">
        <f>IF(C79="",B79,MIN(B79,C79))</f>
        <v/>
      </c>
      <c r="E79" s="17" t="n"/>
      <c r="F79" s="4" t="n">
        <v>3522</v>
      </c>
    </row>
    <row r="80">
      <c r="A80" s="8" t="inlineStr">
        <is>
          <t>08/2000</t>
        </is>
      </c>
      <c r="B80" s="4" t="n">
        <v>1980</v>
      </c>
      <c r="C80" s="4" t="n"/>
      <c r="D80" s="4">
        <f>IF(C80="",B80,MIN(B80,C80))</f>
        <v/>
      </c>
      <c r="E80" s="17" t="n"/>
      <c r="F80" s="4" t="n">
        <v>3522</v>
      </c>
    </row>
    <row r="81">
      <c r="A81" s="8" t="inlineStr">
        <is>
          <t>09/2000</t>
        </is>
      </c>
      <c r="B81" s="4" t="n">
        <v>1980</v>
      </c>
      <c r="C81" s="4" t="n"/>
      <c r="D81" s="4">
        <f>IF(C81="",B81,MIN(B81,C81))</f>
        <v/>
      </c>
      <c r="E81" s="17" t="n"/>
      <c r="F81" s="4" t="n">
        <v>3522</v>
      </c>
    </row>
    <row r="82">
      <c r="A82" s="8" t="inlineStr">
        <is>
          <t>10/2000</t>
        </is>
      </c>
      <c r="B82" s="4" t="n">
        <v>1980</v>
      </c>
      <c r="C82" s="4" t="n"/>
      <c r="D82" s="4">
        <f>IF(C82="",B82,MIN(B82,C82))</f>
        <v/>
      </c>
      <c r="E82" s="17" t="n"/>
      <c r="F82" s="4" t="n">
        <v>3522</v>
      </c>
    </row>
    <row r="83">
      <c r="A83" s="8" t="inlineStr">
        <is>
          <t>11/2000</t>
        </is>
      </c>
      <c r="B83" s="4" t="n">
        <v>1980</v>
      </c>
      <c r="C83" s="4" t="n"/>
      <c r="D83" s="4">
        <f>IF(C83="",B83,MIN(B83,C83))</f>
        <v/>
      </c>
      <c r="E83" s="17" t="n"/>
      <c r="F83" s="4" t="n">
        <v>3522</v>
      </c>
    </row>
    <row r="84">
      <c r="A84" s="8" t="inlineStr">
        <is>
          <t>12/2000</t>
        </is>
      </c>
      <c r="B84" s="4" t="n">
        <v>1980</v>
      </c>
      <c r="C84" s="4" t="n"/>
      <c r="D84" s="4">
        <f>IF(C84="",B84,MIN(B84,C84))</f>
        <v/>
      </c>
      <c r="E84" s="17" t="n"/>
      <c r="F84" s="4" t="n">
        <v>3522</v>
      </c>
    </row>
    <row r="85">
      <c r="A85" s="8" t="inlineStr">
        <is>
          <t>01/2001</t>
        </is>
      </c>
      <c r="B85" s="4" t="n">
        <v>2060</v>
      </c>
      <c r="C85" s="4" t="n"/>
      <c r="D85" s="4">
        <f>IF(C85="",B85,MIN(B85,C85))</f>
        <v/>
      </c>
      <c r="E85" s="17" t="n"/>
      <c r="F85" s="4" t="n">
        <v>3634</v>
      </c>
    </row>
    <row r="86">
      <c r="A86" s="8" t="inlineStr">
        <is>
          <t>02/2001</t>
        </is>
      </c>
      <c r="B86" s="4" t="n">
        <v>2060</v>
      </c>
      <c r="C86" s="4" t="n"/>
      <c r="D86" s="4">
        <f>IF(C86="",B86,MIN(B86,C86))</f>
        <v/>
      </c>
      <c r="E86" s="17" t="n"/>
      <c r="F86" s="4" t="n">
        <v>3634</v>
      </c>
    </row>
    <row r="87">
      <c r="A87" s="8" t="inlineStr">
        <is>
          <t>03/2001</t>
        </is>
      </c>
      <c r="B87" s="4" t="n">
        <v>2060</v>
      </c>
      <c r="C87" s="4" t="n"/>
      <c r="D87" s="4">
        <f>IF(C87="",B87,MIN(B87,C87))</f>
        <v/>
      </c>
      <c r="E87" s="17" t="n"/>
      <c r="F87" s="4" t="n">
        <v>3634</v>
      </c>
    </row>
    <row r="88">
      <c r="A88" s="8" t="inlineStr">
        <is>
          <t>04/2001</t>
        </is>
      </c>
      <c r="B88" s="4" t="n">
        <v>2060</v>
      </c>
      <c r="C88" s="4" t="n"/>
      <c r="D88" s="4">
        <f>IF(C88="",B88,MIN(B88,C88))</f>
        <v/>
      </c>
      <c r="E88" s="17" t="n"/>
      <c r="F88" s="4" t="n">
        <v>3634</v>
      </c>
    </row>
    <row r="89">
      <c r="A89" s="8" t="inlineStr">
        <is>
          <t>05/2001</t>
        </is>
      </c>
      <c r="B89" s="4" t="n">
        <v>2060</v>
      </c>
      <c r="C89" s="4" t="n"/>
      <c r="D89" s="4">
        <f>IF(C89="",B89,MIN(B89,C89))</f>
        <v/>
      </c>
      <c r="E89" s="17" t="n"/>
      <c r="F89" s="4" t="n">
        <v>3634</v>
      </c>
    </row>
    <row r="90">
      <c r="A90" s="8" t="inlineStr">
        <is>
          <t>06/2001</t>
        </is>
      </c>
      <c r="B90" s="4" t="n">
        <v>2060</v>
      </c>
      <c r="C90" s="4" t="n"/>
      <c r="D90" s="4">
        <f>IF(C90="",B90,MIN(B90,C90))</f>
        <v/>
      </c>
      <c r="E90" s="17" t="n"/>
      <c r="F90" s="4" t="n">
        <v>3634</v>
      </c>
    </row>
    <row r="91">
      <c r="A91" s="8" t="inlineStr">
        <is>
          <t>07/2001</t>
        </is>
      </c>
      <c r="B91" s="4" t="n">
        <v>2060</v>
      </c>
      <c r="C91" s="4" t="n"/>
      <c r="D91" s="4">
        <f>IF(C91="",B91,MIN(B91,C91))</f>
        <v/>
      </c>
      <c r="E91" s="17" t="n"/>
      <c r="F91" s="4" t="n">
        <v>3634</v>
      </c>
    </row>
    <row r="92">
      <c r="A92" s="8" t="inlineStr">
        <is>
          <t>08/2001</t>
        </is>
      </c>
      <c r="B92" s="4" t="n">
        <v>2060</v>
      </c>
      <c r="C92" s="4" t="n"/>
      <c r="D92" s="4">
        <f>IF(C92="",B92,MIN(B92,C92))</f>
        <v/>
      </c>
      <c r="E92" s="17" t="n"/>
      <c r="F92" s="4" t="n">
        <v>3634</v>
      </c>
    </row>
    <row r="93">
      <c r="A93" s="8" t="inlineStr">
        <is>
          <t>09/2001</t>
        </is>
      </c>
      <c r="B93" s="4" t="n">
        <v>2060</v>
      </c>
      <c r="C93" s="4" t="n"/>
      <c r="D93" s="4">
        <f>IF(C93="",B93,MIN(B93,C93))</f>
        <v/>
      </c>
      <c r="E93" s="17" t="n"/>
      <c r="F93" s="4" t="n">
        <v>3634</v>
      </c>
    </row>
    <row r="94">
      <c r="A94" s="8" t="inlineStr">
        <is>
          <t>10/2001</t>
        </is>
      </c>
      <c r="B94" s="4" t="n">
        <v>2060</v>
      </c>
      <c r="C94" s="4" t="n"/>
      <c r="D94" s="4">
        <f>IF(C94="",B94,MIN(B94,C94))</f>
        <v/>
      </c>
      <c r="E94" s="17" t="n"/>
      <c r="F94" s="4" t="n">
        <v>3634</v>
      </c>
    </row>
    <row r="95">
      <c r="A95" s="8" t="inlineStr">
        <is>
          <t>11/2001</t>
        </is>
      </c>
      <c r="B95" s="4" t="n">
        <v>2060</v>
      </c>
      <c r="C95" s="4" t="n"/>
      <c r="D95" s="4">
        <f>IF(C95="",B95,MIN(B95,C95))</f>
        <v/>
      </c>
      <c r="E95" s="17" t="n"/>
      <c r="F95" s="4" t="n">
        <v>3634</v>
      </c>
    </row>
    <row r="96">
      <c r="A96" s="8" t="inlineStr">
        <is>
          <t>12/2001</t>
        </is>
      </c>
      <c r="B96" s="4" t="n">
        <v>2060</v>
      </c>
      <c r="C96" s="4" t="n"/>
      <c r="D96" s="4">
        <f>IF(C96="",B96,MIN(B96,C96))</f>
        <v/>
      </c>
      <c r="E96" s="17" t="n"/>
      <c r="F96" s="4" t="n">
        <v>3634</v>
      </c>
    </row>
    <row r="97">
      <c r="A97" s="8" t="inlineStr">
        <is>
          <t>01/2002</t>
        </is>
      </c>
      <c r="B97" s="4" t="n">
        <v>2140</v>
      </c>
      <c r="C97" s="4" t="n"/>
      <c r="D97" s="4">
        <f>IF(C97="",B97,MIN(B97,C97))</f>
        <v/>
      </c>
      <c r="E97" s="17" t="n"/>
      <c r="F97" s="4" t="n">
        <v>3746</v>
      </c>
    </row>
    <row r="98">
      <c r="A98" s="8" t="inlineStr">
        <is>
          <t>02/2002</t>
        </is>
      </c>
      <c r="B98" s="4" t="n">
        <v>2140</v>
      </c>
      <c r="C98" s="4" t="n"/>
      <c r="D98" s="4">
        <f>IF(C98="",B98,MIN(B98,C98))</f>
        <v/>
      </c>
      <c r="E98" s="17" t="n"/>
      <c r="F98" s="4" t="n">
        <v>3746</v>
      </c>
    </row>
    <row r="99">
      <c r="A99" s="8" t="inlineStr">
        <is>
          <t>03/2002</t>
        </is>
      </c>
      <c r="B99" s="4" t="n">
        <v>2140</v>
      </c>
      <c r="C99" s="4" t="n"/>
      <c r="D99" s="4">
        <f>IF(C99="",B99,MIN(B99,C99))</f>
        <v/>
      </c>
      <c r="E99" s="17" t="n"/>
      <c r="F99" s="4" t="n">
        <v>3746</v>
      </c>
    </row>
    <row r="100">
      <c r="A100" s="8" t="inlineStr">
        <is>
          <t>04/2002</t>
        </is>
      </c>
      <c r="B100" s="4" t="n">
        <v>2140</v>
      </c>
      <c r="C100" s="4" t="n"/>
      <c r="D100" s="4">
        <f>IF(C100="",B100,MIN(B100,C100))</f>
        <v/>
      </c>
      <c r="E100" s="17" t="n"/>
      <c r="F100" s="4" t="n">
        <v>3746</v>
      </c>
    </row>
    <row r="101">
      <c r="A101" s="8" t="inlineStr">
        <is>
          <t>05/2002</t>
        </is>
      </c>
      <c r="B101" s="4" t="n">
        <v>2140</v>
      </c>
      <c r="C101" s="4" t="n"/>
      <c r="D101" s="4">
        <f>IF(C101="",B101,MIN(B101,C101))</f>
        <v/>
      </c>
      <c r="E101" s="17" t="n"/>
      <c r="F101" s="4" t="n">
        <v>3746</v>
      </c>
    </row>
    <row r="102">
      <c r="A102" s="8" t="inlineStr">
        <is>
          <t>06/2002</t>
        </is>
      </c>
      <c r="B102" s="4" t="n">
        <v>2140</v>
      </c>
      <c r="C102" s="4" t="n"/>
      <c r="D102" s="4">
        <f>IF(C102="",B102,MIN(B102,C102))</f>
        <v/>
      </c>
      <c r="E102" s="17" t="n"/>
      <c r="F102" s="4" t="n">
        <v>3746</v>
      </c>
    </row>
    <row r="103">
      <c r="A103" s="8" t="inlineStr">
        <is>
          <t>07/2002</t>
        </is>
      </c>
      <c r="B103" s="4" t="n">
        <v>2140</v>
      </c>
      <c r="C103" s="4" t="n"/>
      <c r="D103" s="4">
        <f>IF(C103="",B103,MIN(B103,C103))</f>
        <v/>
      </c>
      <c r="E103" s="17" t="n"/>
      <c r="F103" s="4" t="n">
        <v>3746</v>
      </c>
    </row>
    <row r="104">
      <c r="A104" s="8" t="inlineStr">
        <is>
          <t>08/2002</t>
        </is>
      </c>
      <c r="B104" s="4" t="n">
        <v>2140</v>
      </c>
      <c r="C104" s="4" t="n"/>
      <c r="D104" s="4">
        <f>IF(C104="",B104,MIN(B104,C104))</f>
        <v/>
      </c>
      <c r="E104" s="17" t="n"/>
      <c r="F104" s="4" t="n">
        <v>3746</v>
      </c>
    </row>
    <row r="105">
      <c r="A105" s="8" t="inlineStr">
        <is>
          <t>09/2002</t>
        </is>
      </c>
      <c r="B105" s="4" t="n">
        <v>2140</v>
      </c>
      <c r="C105" s="4" t="n"/>
      <c r="D105" s="4">
        <f>IF(C105="",B105,MIN(B105,C105))</f>
        <v/>
      </c>
      <c r="E105" s="17" t="n"/>
      <c r="F105" s="4" t="n">
        <v>3746</v>
      </c>
    </row>
    <row r="106">
      <c r="A106" s="8" t="inlineStr">
        <is>
          <t>10/2002</t>
        </is>
      </c>
      <c r="B106" s="4" t="n">
        <v>2140</v>
      </c>
      <c r="C106" s="4" t="n"/>
      <c r="D106" s="4">
        <f>IF(C106="",B106,MIN(B106,C106))</f>
        <v/>
      </c>
      <c r="E106" s="17" t="n"/>
      <c r="F106" s="4" t="n">
        <v>3746</v>
      </c>
    </row>
    <row r="107">
      <c r="A107" s="8" t="inlineStr">
        <is>
          <t>11/2002</t>
        </is>
      </c>
      <c r="B107" s="4" t="n">
        <v>2140</v>
      </c>
      <c r="C107" s="4" t="n"/>
      <c r="D107" s="4">
        <f>IF(C107="",B107,MIN(B107,C107))</f>
        <v/>
      </c>
      <c r="E107" s="17" t="n"/>
      <c r="F107" s="4" t="n">
        <v>3746</v>
      </c>
    </row>
    <row r="108">
      <c r="A108" s="8" t="inlineStr">
        <is>
          <t>12/2002</t>
        </is>
      </c>
      <c r="B108" s="4" t="n">
        <v>2140</v>
      </c>
      <c r="C108" s="4" t="n"/>
      <c r="D108" s="4">
        <f>IF(C108="",B108,MIN(B108,C108))</f>
        <v/>
      </c>
      <c r="E108" s="17" t="n"/>
      <c r="F108" s="4" t="n">
        <v>3746</v>
      </c>
    </row>
    <row r="109">
      <c r="A109" s="8" t="inlineStr">
        <is>
          <t>01/2003</t>
        </is>
      </c>
      <c r="B109" s="4" t="n">
        <v>2220</v>
      </c>
      <c r="C109" s="4" t="n"/>
      <c r="D109" s="4">
        <f>IF(C109="",B109,MIN(B109,C109))</f>
        <v/>
      </c>
      <c r="E109" s="17" t="n"/>
      <c r="F109" s="4" t="n">
        <v>3858</v>
      </c>
    </row>
    <row r="110">
      <c r="A110" s="8" t="inlineStr">
        <is>
          <t>02/2003</t>
        </is>
      </c>
      <c r="B110" s="4" t="n">
        <v>2220</v>
      </c>
      <c r="C110" s="4" t="n"/>
      <c r="D110" s="4">
        <f>IF(C110="",B110,MIN(B110,C110))</f>
        <v/>
      </c>
      <c r="E110" s="17" t="n"/>
      <c r="F110" s="4" t="n">
        <v>3858</v>
      </c>
    </row>
    <row r="111">
      <c r="A111" s="8" t="inlineStr">
        <is>
          <t>03/2003</t>
        </is>
      </c>
      <c r="B111" s="4" t="n">
        <v>2220</v>
      </c>
      <c r="C111" s="4" t="n"/>
      <c r="D111" s="4">
        <f>IF(C111="",B111,MIN(B111,C111))</f>
        <v/>
      </c>
      <c r="E111" s="17" t="n"/>
      <c r="F111" s="4" t="n">
        <v>3858</v>
      </c>
    </row>
    <row r="112">
      <c r="A112" s="8" t="inlineStr">
        <is>
          <t>04/2003</t>
        </is>
      </c>
      <c r="B112" s="4" t="n">
        <v>2220</v>
      </c>
      <c r="C112" s="4" t="n"/>
      <c r="D112" s="4">
        <f>IF(C112="",B112,MIN(B112,C112))</f>
        <v/>
      </c>
      <c r="E112" s="17" t="n"/>
      <c r="F112" s="4" t="n">
        <v>3858</v>
      </c>
    </row>
    <row r="113">
      <c r="A113" s="8" t="inlineStr">
        <is>
          <t>05/2003</t>
        </is>
      </c>
      <c r="B113" s="4" t="n">
        <v>2220</v>
      </c>
      <c r="C113" s="4" t="n"/>
      <c r="D113" s="4">
        <f>IF(C113="",B113,MIN(B113,C113))</f>
        <v/>
      </c>
      <c r="E113" s="17" t="n"/>
      <c r="F113" s="4" t="n">
        <v>3858</v>
      </c>
    </row>
    <row r="114">
      <c r="A114" s="8" t="inlineStr">
        <is>
          <t>06/2003</t>
        </is>
      </c>
      <c r="B114" s="4" t="n">
        <v>2220</v>
      </c>
      <c r="C114" s="4" t="n"/>
      <c r="D114" s="4">
        <f>IF(C114="",B114,MIN(B114,C114))</f>
        <v/>
      </c>
      <c r="E114" s="17" t="n"/>
      <c r="F114" s="4" t="n">
        <v>3858</v>
      </c>
    </row>
    <row r="115">
      <c r="A115" s="8" t="inlineStr">
        <is>
          <t>07/2003</t>
        </is>
      </c>
      <c r="B115" s="4" t="n">
        <v>2220</v>
      </c>
      <c r="C115" s="4" t="n"/>
      <c r="D115" s="4">
        <f>IF(C115="",B115,MIN(B115,C115))</f>
        <v/>
      </c>
      <c r="E115" s="17" t="n"/>
      <c r="F115" s="4" t="n">
        <v>3858</v>
      </c>
    </row>
    <row r="116">
      <c r="A116" s="8" t="inlineStr">
        <is>
          <t>08/2003</t>
        </is>
      </c>
      <c r="B116" s="4" t="n">
        <v>2220</v>
      </c>
      <c r="C116" s="4" t="n"/>
      <c r="D116" s="4">
        <f>IF(C116="",B116,MIN(B116,C116))</f>
        <v/>
      </c>
      <c r="E116" s="17" t="n"/>
      <c r="F116" s="4" t="n">
        <v>3858</v>
      </c>
    </row>
    <row r="117">
      <c r="A117" s="8" t="inlineStr">
        <is>
          <t>09/2003</t>
        </is>
      </c>
      <c r="B117" s="4" t="n">
        <v>2220</v>
      </c>
      <c r="C117" s="4" t="n"/>
      <c r="D117" s="4">
        <f>IF(C117="",B117,MIN(B117,C117))</f>
        <v/>
      </c>
      <c r="E117" s="17" t="n"/>
      <c r="F117" s="4" t="n">
        <v>3858</v>
      </c>
    </row>
    <row r="118">
      <c r="A118" s="8" t="inlineStr">
        <is>
          <t>10/2003</t>
        </is>
      </c>
      <c r="B118" s="4" t="n">
        <v>2220</v>
      </c>
      <c r="C118" s="4" t="n"/>
      <c r="D118" s="4">
        <f>IF(C118="",B118,MIN(B118,C118))</f>
        <v/>
      </c>
      <c r="E118" s="17" t="n"/>
      <c r="F118" s="4" t="n">
        <v>3858</v>
      </c>
    </row>
    <row r="119">
      <c r="A119" s="8" t="inlineStr">
        <is>
          <t>11/2003</t>
        </is>
      </c>
      <c r="B119" s="4" t="n">
        <v>2220</v>
      </c>
      <c r="C119" s="4" t="n"/>
      <c r="D119" s="4">
        <f>IF(C119="",B119,MIN(B119,C119))</f>
        <v/>
      </c>
      <c r="E119" s="17" t="n"/>
      <c r="F119" s="4" t="n">
        <v>3858</v>
      </c>
    </row>
    <row r="120">
      <c r="A120" s="8" t="inlineStr">
        <is>
          <t>12/2003</t>
        </is>
      </c>
      <c r="B120" s="4" t="n">
        <v>2220</v>
      </c>
      <c r="C120" s="4" t="n"/>
      <c r="D120" s="4">
        <f>IF(C120="",B120,MIN(B120,C120))</f>
        <v/>
      </c>
      <c r="E120" s="17" t="n"/>
      <c r="F120" s="4" t="n">
        <v>3858</v>
      </c>
    </row>
    <row r="121">
      <c r="A121" s="8" t="inlineStr">
        <is>
          <t>01/2004</t>
        </is>
      </c>
      <c r="B121" s="4" t="n">
        <v>2300</v>
      </c>
      <c r="C121" s="4" t="n"/>
      <c r="D121" s="4">
        <f>IF(C121="",B121,MIN(B121,C121))</f>
        <v/>
      </c>
      <c r="E121" s="17" t="n"/>
      <c r="F121" s="4" t="n">
        <v>3970</v>
      </c>
    </row>
    <row r="122">
      <c r="A122" s="8" t="inlineStr">
        <is>
          <t>02/2004</t>
        </is>
      </c>
      <c r="B122" s="4" t="n">
        <v>2300</v>
      </c>
      <c r="C122" s="4" t="n"/>
      <c r="D122" s="4">
        <f>IF(C122="",B122,MIN(B122,C122))</f>
        <v/>
      </c>
      <c r="E122" s="17" t="n"/>
      <c r="F122" s="4" t="n">
        <v>3970</v>
      </c>
    </row>
    <row r="123">
      <c r="A123" s="8" t="inlineStr">
        <is>
          <t>03/2004</t>
        </is>
      </c>
      <c r="B123" s="4" t="n">
        <v>2300</v>
      </c>
      <c r="C123" s="4" t="n"/>
      <c r="D123" s="4">
        <f>IF(C123="",B123,MIN(B123,C123))</f>
        <v/>
      </c>
      <c r="E123" s="17" t="n"/>
      <c r="F123" s="4" t="n">
        <v>3970</v>
      </c>
    </row>
    <row r="124">
      <c r="A124" s="8" t="inlineStr">
        <is>
          <t>04/2004</t>
        </is>
      </c>
      <c r="B124" s="4" t="n">
        <v>2300</v>
      </c>
      <c r="C124" s="4" t="n"/>
      <c r="D124" s="4">
        <f>IF(C124="",B124,MIN(B124,C124))</f>
        <v/>
      </c>
      <c r="E124" s="17" t="n"/>
      <c r="F124" s="4" t="n">
        <v>3970</v>
      </c>
    </row>
    <row r="125">
      <c r="A125" s="8" t="inlineStr">
        <is>
          <t>05/2004</t>
        </is>
      </c>
      <c r="B125" s="4" t="n">
        <v>2300</v>
      </c>
      <c r="C125" s="4" t="n"/>
      <c r="D125" s="4">
        <f>IF(C125="",B125,MIN(B125,C125))</f>
        <v/>
      </c>
      <c r="E125" s="17" t="n"/>
      <c r="F125" s="4" t="n">
        <v>3970</v>
      </c>
    </row>
    <row r="126">
      <c r="A126" s="8" t="inlineStr">
        <is>
          <t>06/2004</t>
        </is>
      </c>
      <c r="B126" s="4" t="n">
        <v>2300</v>
      </c>
      <c r="C126" s="4" t="n"/>
      <c r="D126" s="4">
        <f>IF(C126="",B126,MIN(B126,C126))</f>
        <v/>
      </c>
      <c r="E126" s="17" t="n"/>
      <c r="F126" s="4" t="n">
        <v>3970</v>
      </c>
    </row>
    <row r="127">
      <c r="A127" s="8" t="inlineStr">
        <is>
          <t>07/2004</t>
        </is>
      </c>
      <c r="B127" s="4" t="n">
        <v>2300</v>
      </c>
      <c r="C127" s="4" t="n"/>
      <c r="D127" s="4">
        <f>IF(C127="",B127,MIN(B127,C127))</f>
        <v/>
      </c>
      <c r="E127" s="17" t="n"/>
      <c r="F127" s="4" t="n">
        <v>3970</v>
      </c>
    </row>
    <row r="128">
      <c r="A128" s="8" t="inlineStr">
        <is>
          <t>08/2004</t>
        </is>
      </c>
      <c r="B128" s="4" t="n">
        <v>2300</v>
      </c>
      <c r="C128" s="4" t="n"/>
      <c r="D128" s="4">
        <f>IF(C128="",B128,MIN(B128,C128))</f>
        <v/>
      </c>
      <c r="E128" s="17" t="n"/>
      <c r="F128" s="4" t="n">
        <v>3970</v>
      </c>
    </row>
    <row r="129">
      <c r="A129" s="8" t="inlineStr">
        <is>
          <t>09/2004</t>
        </is>
      </c>
      <c r="B129" s="4" t="n">
        <v>2300</v>
      </c>
      <c r="C129" s="4" t="n"/>
      <c r="D129" s="4">
        <f>IF(C129="",B129,MIN(B129,C129))</f>
        <v/>
      </c>
      <c r="E129" s="17" t="n"/>
      <c r="F129" s="4" t="n">
        <v>3970</v>
      </c>
    </row>
    <row r="130">
      <c r="A130" s="8" t="inlineStr">
        <is>
          <t>10/2004</t>
        </is>
      </c>
      <c r="B130" s="4" t="n">
        <v>2300</v>
      </c>
      <c r="C130" s="4" t="n"/>
      <c r="D130" s="4">
        <f>IF(C130="",B130,MIN(B130,C130))</f>
        <v/>
      </c>
      <c r="E130" s="17" t="n"/>
      <c r="F130" s="4" t="n">
        <v>3970</v>
      </c>
    </row>
    <row r="131">
      <c r="A131" s="8" t="inlineStr">
        <is>
          <t>11/2004</t>
        </is>
      </c>
      <c r="B131" s="4" t="n">
        <v>2300</v>
      </c>
      <c r="C131" s="4" t="n"/>
      <c r="D131" s="4">
        <f>IF(C131="",B131,MIN(B131,C131))</f>
        <v/>
      </c>
      <c r="E131" s="17" t="n"/>
      <c r="F131" s="4" t="n">
        <v>3970</v>
      </c>
    </row>
    <row r="132">
      <c r="A132" s="8" t="inlineStr">
        <is>
          <t>12/2004</t>
        </is>
      </c>
      <c r="B132" s="4" t="n">
        <v>2300</v>
      </c>
      <c r="C132" s="4" t="n"/>
      <c r="D132" s="4">
        <f>IF(C132="",B132,MIN(B132,C132))</f>
        <v/>
      </c>
      <c r="E132" s="17" t="n"/>
      <c r="F132" s="4" t="n">
        <v>3970</v>
      </c>
    </row>
    <row r="133">
      <c r="A133" s="8" t="inlineStr">
        <is>
          <t>01/2005</t>
        </is>
      </c>
      <c r="B133" s="4" t="n">
        <v>2380</v>
      </c>
      <c r="C133" s="4" t="n"/>
      <c r="D133" s="4">
        <f>IF(C133="",B133,MIN(B133,C133))</f>
        <v/>
      </c>
      <c r="E133" s="17" t="n"/>
      <c r="F133" s="4" t="n">
        <v>4082</v>
      </c>
    </row>
    <row r="134">
      <c r="A134" s="8" t="inlineStr">
        <is>
          <t>02/2005</t>
        </is>
      </c>
      <c r="B134" s="4" t="n">
        <v>2380</v>
      </c>
      <c r="C134" s="4" t="n"/>
      <c r="D134" s="4">
        <f>IF(C134="",B134,MIN(B134,C134))</f>
        <v/>
      </c>
      <c r="E134" s="17" t="n"/>
      <c r="F134" s="4" t="n">
        <v>4082</v>
      </c>
    </row>
    <row r="135">
      <c r="A135" s="8" t="inlineStr">
        <is>
          <t>03/2005</t>
        </is>
      </c>
      <c r="B135" s="4" t="n">
        <v>2380</v>
      </c>
      <c r="C135" s="4" t="n"/>
      <c r="D135" s="4">
        <f>IF(C135="",B135,MIN(B135,C135))</f>
        <v/>
      </c>
      <c r="E135" s="17" t="n"/>
      <c r="F135" s="4" t="n">
        <v>4082</v>
      </c>
    </row>
    <row r="136">
      <c r="A136" s="8" t="inlineStr">
        <is>
          <t>04/2005</t>
        </is>
      </c>
      <c r="B136" s="4" t="n">
        <v>2380</v>
      </c>
      <c r="C136" s="4" t="n"/>
      <c r="D136" s="4">
        <f>IF(C136="",B136,MIN(B136,C136))</f>
        <v/>
      </c>
      <c r="E136" s="17" t="n"/>
      <c r="F136" s="4" t="n">
        <v>4082</v>
      </c>
    </row>
    <row r="137">
      <c r="A137" s="8" t="inlineStr">
        <is>
          <t>05/2005</t>
        </is>
      </c>
      <c r="B137" s="4" t="n">
        <v>2380</v>
      </c>
      <c r="C137" s="4" t="n"/>
      <c r="D137" s="4">
        <f>IF(C137="",B137,MIN(B137,C137))</f>
        <v/>
      </c>
      <c r="E137" s="17" t="n"/>
      <c r="F137" s="4" t="n">
        <v>4082</v>
      </c>
    </row>
    <row r="138">
      <c r="A138" s="8" t="inlineStr">
        <is>
          <t>06/2005</t>
        </is>
      </c>
      <c r="B138" s="4" t="n">
        <v>2380</v>
      </c>
      <c r="C138" s="4" t="n"/>
      <c r="D138" s="4">
        <f>IF(C138="",B138,MIN(B138,C138))</f>
        <v/>
      </c>
      <c r="E138" s="17" t="n"/>
      <c r="F138" s="4" t="n">
        <v>4082</v>
      </c>
    </row>
    <row r="139">
      <c r="A139" s="8" t="inlineStr">
        <is>
          <t>07/2005</t>
        </is>
      </c>
      <c r="B139" s="4" t="n">
        <v>2380</v>
      </c>
      <c r="C139" s="4" t="n"/>
      <c r="D139" s="4">
        <f>IF(C139="",B139,MIN(B139,C139))</f>
        <v/>
      </c>
      <c r="E139" s="17" t="n"/>
      <c r="F139" s="4" t="n">
        <v>4082</v>
      </c>
    </row>
    <row r="140">
      <c r="A140" s="8" t="inlineStr">
        <is>
          <t>08/2005</t>
        </is>
      </c>
      <c r="B140" s="4" t="n">
        <v>2380</v>
      </c>
      <c r="C140" s="4" t="n"/>
      <c r="D140" s="4">
        <f>IF(C140="",B140,MIN(B140,C140))</f>
        <v/>
      </c>
      <c r="E140" s="17" t="n"/>
      <c r="F140" s="4" t="n">
        <v>4082</v>
      </c>
    </row>
    <row r="141">
      <c r="A141" s="8" t="inlineStr">
        <is>
          <t>09/2005</t>
        </is>
      </c>
      <c r="B141" s="4" t="n">
        <v>2380</v>
      </c>
      <c r="C141" s="4" t="n"/>
      <c r="D141" s="4">
        <f>IF(C141="",B141,MIN(B141,C141))</f>
        <v/>
      </c>
      <c r="E141" s="17" t="n"/>
      <c r="F141" s="4" t="n">
        <v>4082</v>
      </c>
    </row>
    <row r="142">
      <c r="A142" s="8" t="inlineStr">
        <is>
          <t>10/2005</t>
        </is>
      </c>
      <c r="B142" s="4" t="n">
        <v>2380</v>
      </c>
      <c r="C142" s="4" t="n"/>
      <c r="D142" s="4">
        <f>IF(C142="",B142,MIN(B142,C142))</f>
        <v/>
      </c>
      <c r="E142" s="17" t="n"/>
      <c r="F142" s="4" t="n">
        <v>4082</v>
      </c>
    </row>
    <row r="143">
      <c r="A143" s="8" t="inlineStr">
        <is>
          <t>11/2005</t>
        </is>
      </c>
      <c r="B143" s="4" t="n">
        <v>2380</v>
      </c>
      <c r="C143" s="4" t="n"/>
      <c r="D143" s="4">
        <f>IF(C143="",B143,MIN(B143,C143))</f>
        <v/>
      </c>
      <c r="E143" s="17" t="n"/>
      <c r="F143" s="4" t="n">
        <v>4082</v>
      </c>
    </row>
    <row r="144">
      <c r="A144" s="8" t="inlineStr">
        <is>
          <t>12/2005</t>
        </is>
      </c>
      <c r="B144" s="4" t="n">
        <v>2380</v>
      </c>
      <c r="C144" s="4" t="n"/>
      <c r="D144" s="4">
        <f>IF(C144="",B144,MIN(B144,C144))</f>
        <v/>
      </c>
      <c r="E144" s="17" t="n"/>
      <c r="F144" s="4" t="n">
        <v>4082</v>
      </c>
    </row>
    <row r="145">
      <c r="A145" s="8" t="inlineStr">
        <is>
          <t>01/2006</t>
        </is>
      </c>
      <c r="B145" s="4" t="n">
        <v>2460</v>
      </c>
      <c r="C145" s="4" t="n"/>
      <c r="D145" s="4">
        <f>IF(C145="",B145,MIN(B145,C145))</f>
        <v/>
      </c>
      <c r="E145" s="17" t="n"/>
      <c r="F145" s="4" t="n">
        <v>4194</v>
      </c>
    </row>
    <row r="146">
      <c r="A146" s="8" t="inlineStr">
        <is>
          <t>02/2006</t>
        </is>
      </c>
      <c r="B146" s="4" t="n">
        <v>2460</v>
      </c>
      <c r="C146" s="4" t="n"/>
      <c r="D146" s="4">
        <f>IF(C146="",B146,MIN(B146,C146))</f>
        <v/>
      </c>
      <c r="E146" s="17" t="n"/>
      <c r="F146" s="4" t="n">
        <v>4194</v>
      </c>
    </row>
    <row r="147">
      <c r="A147" s="8" t="inlineStr">
        <is>
          <t>03/2006</t>
        </is>
      </c>
      <c r="B147" s="4" t="n">
        <v>2460</v>
      </c>
      <c r="C147" s="4" t="n"/>
      <c r="D147" s="4">
        <f>IF(C147="",B147,MIN(B147,C147))</f>
        <v/>
      </c>
      <c r="E147" s="17" t="n"/>
      <c r="F147" s="4" t="n">
        <v>4194</v>
      </c>
    </row>
    <row r="148">
      <c r="A148" s="8" t="inlineStr">
        <is>
          <t>04/2006</t>
        </is>
      </c>
      <c r="B148" s="4" t="n">
        <v>2460</v>
      </c>
      <c r="C148" s="4" t="n"/>
      <c r="D148" s="4">
        <f>IF(C148="",B148,MIN(B148,C148))</f>
        <v/>
      </c>
      <c r="E148" s="17" t="n"/>
      <c r="F148" s="4" t="n">
        <v>4194</v>
      </c>
    </row>
    <row r="149">
      <c r="A149" s="8" t="inlineStr">
        <is>
          <t>05/2006</t>
        </is>
      </c>
      <c r="B149" s="4" t="n">
        <v>2460</v>
      </c>
      <c r="C149" s="4" t="n"/>
      <c r="D149" s="4">
        <f>IF(C149="",B149,MIN(B149,C149))</f>
        <v/>
      </c>
      <c r="E149" s="17" t="n"/>
      <c r="F149" s="4" t="n">
        <v>4194</v>
      </c>
    </row>
    <row r="150">
      <c r="A150" s="8" t="inlineStr">
        <is>
          <t>06/2006</t>
        </is>
      </c>
      <c r="B150" s="4" t="n">
        <v>2460</v>
      </c>
      <c r="C150" s="4" t="n"/>
      <c r="D150" s="4">
        <f>IF(C150="",B150,MIN(B150,C150))</f>
        <v/>
      </c>
      <c r="E150" s="17" t="n"/>
      <c r="F150" s="4" t="n">
        <v>4194</v>
      </c>
    </row>
    <row r="151">
      <c r="A151" s="8" t="inlineStr">
        <is>
          <t>07/2006</t>
        </is>
      </c>
      <c r="B151" s="4" t="n">
        <v>2460</v>
      </c>
      <c r="C151" s="4" t="n"/>
      <c r="D151" s="4">
        <f>IF(C151="",B151,MIN(B151,C151))</f>
        <v/>
      </c>
      <c r="E151" s="17" t="n"/>
      <c r="F151" s="4" t="n">
        <v>4194</v>
      </c>
    </row>
    <row r="152">
      <c r="A152" s="8" t="inlineStr">
        <is>
          <t>08/2006</t>
        </is>
      </c>
      <c r="B152" s="4" t="n">
        <v>2460</v>
      </c>
      <c r="C152" s="4" t="n"/>
      <c r="D152" s="4">
        <f>IF(C152="",B152,MIN(B152,C152))</f>
        <v/>
      </c>
      <c r="E152" s="17" t="n"/>
      <c r="F152" s="4" t="n">
        <v>4194</v>
      </c>
    </row>
    <row r="153">
      <c r="A153" s="8" t="inlineStr">
        <is>
          <t>09/2006</t>
        </is>
      </c>
      <c r="B153" s="4" t="n">
        <v>2460</v>
      </c>
      <c r="C153" s="4" t="n"/>
      <c r="D153" s="4">
        <f>IF(C153="",B153,MIN(B153,C153))</f>
        <v/>
      </c>
      <c r="E153" s="17" t="n"/>
      <c r="F153" s="4" t="n">
        <v>4194</v>
      </c>
    </row>
    <row r="154">
      <c r="A154" s="8" t="inlineStr">
        <is>
          <t>10/2006</t>
        </is>
      </c>
      <c r="B154" s="4" t="n">
        <v>2460</v>
      </c>
      <c r="C154" s="4" t="n"/>
      <c r="D154" s="4">
        <f>IF(C154="",B154,MIN(B154,C154))</f>
        <v/>
      </c>
      <c r="E154" s="17" t="n"/>
      <c r="F154" s="4" t="n">
        <v>4194</v>
      </c>
    </row>
    <row r="155">
      <c r="A155" s="8" t="inlineStr">
        <is>
          <t>11/2006</t>
        </is>
      </c>
      <c r="B155" s="4" t="n">
        <v>2460</v>
      </c>
      <c r="C155" s="4" t="n"/>
      <c r="D155" s="4">
        <f>IF(C155="",B155,MIN(B155,C155))</f>
        <v/>
      </c>
      <c r="E155" s="17" t="n"/>
      <c r="F155" s="4" t="n">
        <v>4194</v>
      </c>
    </row>
    <row r="156">
      <c r="A156" s="8" t="inlineStr">
        <is>
          <t>12/2006</t>
        </is>
      </c>
      <c r="B156" s="4" t="n">
        <v>2460</v>
      </c>
      <c r="C156" s="4" t="n"/>
      <c r="D156" s="4">
        <f>IF(C156="",B156,MIN(B156,C156))</f>
        <v/>
      </c>
      <c r="E156" s="17" t="n"/>
      <c r="F156" s="4" t="n">
        <v>4194</v>
      </c>
    </row>
    <row r="157">
      <c r="A157" s="8" t="inlineStr">
        <is>
          <t>01/2007</t>
        </is>
      </c>
      <c r="B157" s="4" t="n">
        <v>2540</v>
      </c>
      <c r="C157" s="4" t="n"/>
      <c r="D157" s="4">
        <f>IF(C157="",B157,MIN(B157,C157))</f>
        <v/>
      </c>
      <c r="E157" s="17" t="n"/>
      <c r="F157" s="4" t="n">
        <v>4306</v>
      </c>
    </row>
    <row r="158">
      <c r="A158" s="8" t="inlineStr">
        <is>
          <t>02/2007</t>
        </is>
      </c>
      <c r="B158" s="4" t="n">
        <v>2540</v>
      </c>
      <c r="C158" s="4" t="n"/>
      <c r="D158" s="4">
        <f>IF(C158="",B158,MIN(B158,C158))</f>
        <v/>
      </c>
      <c r="E158" s="17" t="n"/>
      <c r="F158" s="4" t="n">
        <v>4306</v>
      </c>
    </row>
    <row r="159">
      <c r="A159" s="8" t="inlineStr">
        <is>
          <t>03/2007</t>
        </is>
      </c>
      <c r="B159" s="4" t="n">
        <v>2540</v>
      </c>
      <c r="C159" s="4" t="n"/>
      <c r="D159" s="4">
        <f>IF(C159="",B159,MIN(B159,C159))</f>
        <v/>
      </c>
      <c r="E159" s="17" t="n"/>
      <c r="F159" s="4" t="n">
        <v>4306</v>
      </c>
    </row>
    <row r="160">
      <c r="A160" s="8" t="inlineStr">
        <is>
          <t>04/2007</t>
        </is>
      </c>
      <c r="B160" s="4" t="n">
        <v>2540</v>
      </c>
      <c r="C160" s="4" t="n"/>
      <c r="D160" s="4">
        <f>IF(C160="",B160,MIN(B160,C160))</f>
        <v/>
      </c>
      <c r="E160" s="17" t="n"/>
      <c r="F160" s="4" t="n">
        <v>4306</v>
      </c>
    </row>
    <row r="161">
      <c r="A161" s="8" t="inlineStr">
        <is>
          <t>05/2007</t>
        </is>
      </c>
      <c r="B161" s="4" t="n">
        <v>2540</v>
      </c>
      <c r="C161" s="4" t="n"/>
      <c r="D161" s="4">
        <f>IF(C161="",B161,MIN(B161,C161))</f>
        <v/>
      </c>
      <c r="E161" s="17" t="n"/>
      <c r="F161" s="4" t="n">
        <v>4306</v>
      </c>
    </row>
    <row r="162">
      <c r="A162" s="8" t="inlineStr">
        <is>
          <t>06/2007</t>
        </is>
      </c>
      <c r="B162" s="4" t="n">
        <v>2540</v>
      </c>
      <c r="C162" s="4" t="n"/>
      <c r="D162" s="4">
        <f>IF(C162="",B162,MIN(B162,C162))</f>
        <v/>
      </c>
      <c r="E162" s="17" t="n"/>
      <c r="F162" s="4" t="n">
        <v>4306</v>
      </c>
    </row>
    <row r="163">
      <c r="A163" s="8" t="inlineStr">
        <is>
          <t>07/2007</t>
        </is>
      </c>
      <c r="B163" s="4" t="n">
        <v>2540</v>
      </c>
      <c r="C163" s="4" t="n"/>
      <c r="D163" s="4">
        <f>IF(C163="",B163,MIN(B163,C163))</f>
        <v/>
      </c>
      <c r="E163" s="17" t="n"/>
      <c r="F163" s="4" t="n">
        <v>4306</v>
      </c>
    </row>
    <row r="164">
      <c r="A164" s="8" t="inlineStr">
        <is>
          <t>08/2007</t>
        </is>
      </c>
      <c r="B164" s="4" t="n">
        <v>2540</v>
      </c>
      <c r="C164" s="4" t="n"/>
      <c r="D164" s="4">
        <f>IF(C164="",B164,MIN(B164,C164))</f>
        <v/>
      </c>
      <c r="E164" s="17" t="n"/>
      <c r="F164" s="4" t="n">
        <v>4306</v>
      </c>
    </row>
    <row r="165">
      <c r="A165" s="8" t="inlineStr">
        <is>
          <t>09/2007</t>
        </is>
      </c>
      <c r="B165" s="4" t="n">
        <v>2540</v>
      </c>
      <c r="C165" s="4" t="n"/>
      <c r="D165" s="4">
        <f>IF(C165="",B165,MIN(B165,C165))</f>
        <v/>
      </c>
      <c r="E165" s="17" t="n"/>
      <c r="F165" s="4" t="n">
        <v>4306</v>
      </c>
    </row>
    <row r="166">
      <c r="A166" s="8" t="inlineStr">
        <is>
          <t>10/2007</t>
        </is>
      </c>
      <c r="B166" s="4" t="n">
        <v>2540</v>
      </c>
      <c r="C166" s="4" t="n"/>
      <c r="D166" s="4">
        <f>IF(C166="",B166,MIN(B166,C166))</f>
        <v/>
      </c>
      <c r="E166" s="17" t="n"/>
      <c r="F166" s="4" t="n">
        <v>4306</v>
      </c>
    </row>
    <row r="167">
      <c r="A167" s="8" t="inlineStr">
        <is>
          <t>11/2007</t>
        </is>
      </c>
      <c r="B167" s="4" t="n">
        <v>2540</v>
      </c>
      <c r="C167" s="4" t="n"/>
      <c r="D167" s="4">
        <f>IF(C167="",B167,MIN(B167,C167))</f>
        <v/>
      </c>
      <c r="E167" s="17" t="n"/>
      <c r="F167" s="4" t="n">
        <v>4306</v>
      </c>
    </row>
    <row r="168">
      <c r="A168" s="8" t="inlineStr">
        <is>
          <t>12/2007</t>
        </is>
      </c>
      <c r="B168" s="4" t="n">
        <v>2540</v>
      </c>
      <c r="C168" s="4" t="n"/>
      <c r="D168" s="4">
        <f>IF(C168="",B168,MIN(B168,C168))</f>
        <v/>
      </c>
      <c r="E168" s="17" t="n"/>
      <c r="F168" s="4" t="n">
        <v>4306</v>
      </c>
    </row>
    <row r="169">
      <c r="A169" s="8" t="inlineStr">
        <is>
          <t>01/2008</t>
        </is>
      </c>
      <c r="B169" s="4" t="n">
        <v>2620</v>
      </c>
      <c r="C169" s="4" t="n"/>
      <c r="D169" s="4">
        <f>IF(C169="",B169,MIN(B169,C169))</f>
        <v/>
      </c>
      <c r="E169" s="17" t="n"/>
      <c r="F169" s="4" t="n">
        <v>4418</v>
      </c>
    </row>
    <row r="170">
      <c r="A170" s="8" t="inlineStr">
        <is>
          <t>02/2008</t>
        </is>
      </c>
      <c r="B170" s="4" t="n">
        <v>2620</v>
      </c>
      <c r="C170" s="4" t="n"/>
      <c r="D170" s="4">
        <f>IF(C170="",B170,MIN(B170,C170))</f>
        <v/>
      </c>
      <c r="E170" s="17" t="n"/>
      <c r="F170" s="4" t="n">
        <v>4418</v>
      </c>
    </row>
    <row r="171">
      <c r="A171" s="8" t="inlineStr">
        <is>
          <t>03/2008</t>
        </is>
      </c>
      <c r="B171" s="4" t="n">
        <v>2620</v>
      </c>
      <c r="C171" s="4" t="n"/>
      <c r="D171" s="4">
        <f>IF(C171="",B171,MIN(B171,C171))</f>
        <v/>
      </c>
      <c r="E171" s="17" t="n"/>
      <c r="F171" s="4" t="n">
        <v>4418</v>
      </c>
    </row>
    <row r="172">
      <c r="A172" s="8" t="inlineStr">
        <is>
          <t>04/2008</t>
        </is>
      </c>
      <c r="B172" s="4" t="n">
        <v>2620</v>
      </c>
      <c r="C172" s="4" t="n"/>
      <c r="D172" s="4">
        <f>IF(C172="",B172,MIN(B172,C172))</f>
        <v/>
      </c>
      <c r="E172" s="17" t="n"/>
      <c r="F172" s="4" t="n">
        <v>4418</v>
      </c>
    </row>
    <row r="173">
      <c r="A173" s="8" t="inlineStr">
        <is>
          <t>05/2008</t>
        </is>
      </c>
      <c r="B173" s="4" t="n">
        <v>2620</v>
      </c>
      <c r="C173" s="4" t="n"/>
      <c r="D173" s="4">
        <f>IF(C173="",B173,MIN(B173,C173))</f>
        <v/>
      </c>
      <c r="E173" s="17" t="n"/>
      <c r="F173" s="4" t="n">
        <v>4418</v>
      </c>
    </row>
    <row r="174">
      <c r="A174" s="8" t="inlineStr">
        <is>
          <t>06/2008</t>
        </is>
      </c>
      <c r="B174" s="4" t="n">
        <v>2620</v>
      </c>
      <c r="C174" s="4" t="n"/>
      <c r="D174" s="4">
        <f>IF(C174="",B174,MIN(B174,C174))</f>
        <v/>
      </c>
      <c r="E174" s="17" t="n"/>
      <c r="F174" s="4" t="n">
        <v>4418</v>
      </c>
    </row>
    <row r="175">
      <c r="A175" s="8" t="inlineStr">
        <is>
          <t>07/2008</t>
        </is>
      </c>
      <c r="B175" s="4" t="n">
        <v>2620</v>
      </c>
      <c r="C175" s="4" t="n"/>
      <c r="D175" s="4">
        <f>IF(C175="",B175,MIN(B175,C175))</f>
        <v/>
      </c>
      <c r="E175" s="17" t="n"/>
      <c r="F175" s="4" t="n">
        <v>4418</v>
      </c>
    </row>
    <row r="176">
      <c r="A176" s="8" t="inlineStr">
        <is>
          <t>08/2008</t>
        </is>
      </c>
      <c r="B176" s="4" t="n">
        <v>2620</v>
      </c>
      <c r="C176" s="4" t="n"/>
      <c r="D176" s="4">
        <f>IF(C176="",B176,MIN(B176,C176))</f>
        <v/>
      </c>
      <c r="E176" s="17" t="n"/>
      <c r="F176" s="4" t="n">
        <v>4418</v>
      </c>
    </row>
    <row r="177">
      <c r="A177" s="8" t="inlineStr">
        <is>
          <t>09/2008</t>
        </is>
      </c>
      <c r="B177" s="4" t="n">
        <v>2620</v>
      </c>
      <c r="C177" s="4" t="n"/>
      <c r="D177" s="4">
        <f>IF(C177="",B177,MIN(B177,C177))</f>
        <v/>
      </c>
      <c r="E177" s="17" t="n"/>
      <c r="F177" s="4" t="n">
        <v>4418</v>
      </c>
    </row>
    <row r="178">
      <c r="A178" s="8" t="inlineStr">
        <is>
          <t>10/2008</t>
        </is>
      </c>
      <c r="B178" s="4" t="n">
        <v>2620</v>
      </c>
      <c r="C178" s="4" t="n"/>
      <c r="D178" s="4">
        <f>IF(C178="",B178,MIN(B178,C178))</f>
        <v/>
      </c>
      <c r="E178" s="17" t="n"/>
      <c r="F178" s="4" t="n">
        <v>4418</v>
      </c>
    </row>
    <row r="179">
      <c r="A179" s="8" t="inlineStr">
        <is>
          <t>11/2008</t>
        </is>
      </c>
      <c r="B179" s="4" t="n">
        <v>2620</v>
      </c>
      <c r="C179" s="4" t="n"/>
      <c r="D179" s="4">
        <f>IF(C179="",B179,MIN(B179,C179))</f>
        <v/>
      </c>
      <c r="E179" s="17" t="n"/>
      <c r="F179" s="4" t="n">
        <v>4418</v>
      </c>
    </row>
    <row r="180">
      <c r="A180" s="8" t="inlineStr">
        <is>
          <t>12/2008</t>
        </is>
      </c>
      <c r="B180" s="4" t="n">
        <v>2620</v>
      </c>
      <c r="C180" s="4" t="n"/>
      <c r="D180" s="4">
        <f>IF(C180="",B180,MIN(B180,C180))</f>
        <v/>
      </c>
      <c r="E180" s="17" t="n"/>
      <c r="F180" s="4" t="n">
        <v>4418</v>
      </c>
    </row>
    <row r="181">
      <c r="A181" s="8" t="inlineStr">
        <is>
          <t>01/2009</t>
        </is>
      </c>
      <c r="B181" s="4" t="n">
        <v>2700</v>
      </c>
      <c r="C181" s="4" t="n"/>
      <c r="D181" s="4">
        <f>IF(C181="",B181,MIN(B181,C181))</f>
        <v/>
      </c>
      <c r="E181" s="17" t="n"/>
      <c r="F181" s="4" t="n">
        <v>4530</v>
      </c>
    </row>
    <row r="182">
      <c r="A182" s="8" t="inlineStr">
        <is>
          <t>02/2009</t>
        </is>
      </c>
      <c r="B182" s="4" t="n">
        <v>2700</v>
      </c>
      <c r="C182" s="4" t="n"/>
      <c r="D182" s="4">
        <f>IF(C182="",B182,MIN(B182,C182))</f>
        <v/>
      </c>
      <c r="E182" s="17" t="n"/>
      <c r="F182" s="4" t="n">
        <v>4530</v>
      </c>
    </row>
    <row r="183">
      <c r="A183" s="8" t="inlineStr">
        <is>
          <t>03/2009</t>
        </is>
      </c>
      <c r="B183" s="4" t="n">
        <v>2700</v>
      </c>
      <c r="C183" s="4" t="n"/>
      <c r="D183" s="4">
        <f>IF(C183="",B183,MIN(B183,C183))</f>
        <v/>
      </c>
      <c r="E183" s="17" t="n"/>
      <c r="F183" s="4" t="n">
        <v>4530</v>
      </c>
    </row>
    <row r="184">
      <c r="A184" s="8" t="inlineStr">
        <is>
          <t>04/2009</t>
        </is>
      </c>
      <c r="B184" s="4" t="n">
        <v>2700</v>
      </c>
      <c r="C184" s="4" t="n"/>
      <c r="D184" s="4">
        <f>IF(C184="",B184,MIN(B184,C184))</f>
        <v/>
      </c>
      <c r="E184" s="17" t="n"/>
      <c r="F184" s="4" t="n">
        <v>4530</v>
      </c>
    </row>
    <row r="185">
      <c r="A185" s="8" t="inlineStr">
        <is>
          <t>05/2009</t>
        </is>
      </c>
      <c r="B185" s="4" t="n">
        <v>2700</v>
      </c>
      <c r="C185" s="4" t="n"/>
      <c r="D185" s="4">
        <f>IF(C185="",B185,MIN(B185,C185))</f>
        <v/>
      </c>
      <c r="E185" s="17" t="n"/>
      <c r="F185" s="4" t="n">
        <v>4530</v>
      </c>
    </row>
    <row r="186">
      <c r="A186" s="8" t="inlineStr">
        <is>
          <t>06/2009</t>
        </is>
      </c>
      <c r="B186" s="4" t="n">
        <v>2700</v>
      </c>
      <c r="C186" s="4" t="n"/>
      <c r="D186" s="4">
        <f>IF(C186="",B186,MIN(B186,C186))</f>
        <v/>
      </c>
      <c r="E186" s="17" t="n"/>
      <c r="F186" s="4" t="n">
        <v>4530</v>
      </c>
    </row>
    <row r="187">
      <c r="A187" s="8" t="inlineStr">
        <is>
          <t>07/2009</t>
        </is>
      </c>
      <c r="B187" s="4" t="n">
        <v>2700</v>
      </c>
      <c r="C187" s="4" t="n"/>
      <c r="D187" s="4">
        <f>IF(C187="",B187,MIN(B187,C187))</f>
        <v/>
      </c>
      <c r="E187" s="17" t="n"/>
      <c r="F187" s="4" t="n">
        <v>4530</v>
      </c>
    </row>
    <row r="188">
      <c r="A188" s="8" t="inlineStr">
        <is>
          <t>08/2009</t>
        </is>
      </c>
      <c r="B188" s="4" t="n">
        <v>2700</v>
      </c>
      <c r="C188" s="4" t="n"/>
      <c r="D188" s="4">
        <f>IF(C188="",B188,MIN(B188,C188))</f>
        <v/>
      </c>
      <c r="E188" s="17" t="n"/>
      <c r="F188" s="4" t="n">
        <v>4530</v>
      </c>
    </row>
    <row r="189">
      <c r="A189" s="8" t="inlineStr">
        <is>
          <t>09/2009</t>
        </is>
      </c>
      <c r="B189" s="4" t="n">
        <v>2700</v>
      </c>
      <c r="C189" s="4" t="n"/>
      <c r="D189" s="4">
        <f>IF(C189="",B189,MIN(B189,C189))</f>
        <v/>
      </c>
      <c r="E189" s="17" t="n"/>
      <c r="F189" s="4" t="n">
        <v>4530</v>
      </c>
    </row>
    <row r="190">
      <c r="A190" s="8" t="inlineStr">
        <is>
          <t>10/2009</t>
        </is>
      </c>
      <c r="B190" s="4" t="n">
        <v>2700</v>
      </c>
      <c r="C190" s="4" t="n"/>
      <c r="D190" s="4">
        <f>IF(C190="",B190,MIN(B190,C190))</f>
        <v/>
      </c>
      <c r="E190" s="17" t="n"/>
      <c r="F190" s="4" t="n">
        <v>4530</v>
      </c>
    </row>
    <row r="191">
      <c r="A191" s="8" t="inlineStr">
        <is>
          <t>11/2009</t>
        </is>
      </c>
      <c r="B191" s="4" t="n">
        <v>2700</v>
      </c>
      <c r="C191" s="4" t="n"/>
      <c r="D191" s="4">
        <f>IF(C191="",B191,MIN(B191,C191))</f>
        <v/>
      </c>
      <c r="E191" s="17" t="n"/>
      <c r="F191" s="4" t="n">
        <v>4530</v>
      </c>
    </row>
    <row r="192">
      <c r="A192" s="8" t="inlineStr">
        <is>
          <t>12/2009</t>
        </is>
      </c>
      <c r="B192" s="4" t="n">
        <v>2700</v>
      </c>
      <c r="C192" s="4" t="n"/>
      <c r="D192" s="4">
        <f>IF(C192="",B192,MIN(B192,C192))</f>
        <v/>
      </c>
      <c r="E192" s="17" t="n"/>
      <c r="F192" s="4" t="n">
        <v>4530</v>
      </c>
    </row>
    <row r="193">
      <c r="A193" s="8" t="inlineStr">
        <is>
          <t>01/2010</t>
        </is>
      </c>
      <c r="B193" s="4" t="n">
        <v>2780</v>
      </c>
      <c r="C193" s="4" t="n"/>
      <c r="D193" s="4">
        <f>IF(C193="",B193,MIN(B193,C193))</f>
        <v/>
      </c>
      <c r="E193" s="17" t="n"/>
      <c r="F193" s="4" t="n">
        <v>4642</v>
      </c>
    </row>
    <row r="194">
      <c r="A194" s="8" t="inlineStr">
        <is>
          <t>02/2010</t>
        </is>
      </c>
      <c r="B194" s="4" t="n">
        <v>2780</v>
      </c>
      <c r="C194" s="4" t="n"/>
      <c r="D194" s="4">
        <f>IF(C194="",B194,MIN(B194,C194))</f>
        <v/>
      </c>
      <c r="E194" s="17" t="n"/>
      <c r="F194" s="4" t="n">
        <v>4642</v>
      </c>
    </row>
    <row r="195">
      <c r="A195" s="8" t="inlineStr">
        <is>
          <t>03/2010</t>
        </is>
      </c>
      <c r="B195" s="4" t="n">
        <v>2780</v>
      </c>
      <c r="C195" s="4" t="n"/>
      <c r="D195" s="4">
        <f>IF(C195="",B195,MIN(B195,C195))</f>
        <v/>
      </c>
      <c r="E195" s="17" t="n"/>
      <c r="F195" s="4" t="n">
        <v>4642</v>
      </c>
    </row>
    <row r="196">
      <c r="A196" s="8" t="inlineStr">
        <is>
          <t>04/2010</t>
        </is>
      </c>
      <c r="B196" s="4" t="n">
        <v>2780</v>
      </c>
      <c r="C196" s="4" t="n"/>
      <c r="D196" s="4">
        <f>IF(C196="",B196,MIN(B196,C196))</f>
        <v/>
      </c>
      <c r="E196" s="17" t="n"/>
      <c r="F196" s="4" t="n">
        <v>4642</v>
      </c>
    </row>
    <row r="197">
      <c r="A197" s="8" t="inlineStr">
        <is>
          <t>05/2010</t>
        </is>
      </c>
      <c r="B197" s="4" t="n">
        <v>2780</v>
      </c>
      <c r="C197" s="4" t="n"/>
      <c r="D197" s="4">
        <f>IF(C197="",B197,MIN(B197,C197))</f>
        <v/>
      </c>
      <c r="E197" s="17" t="n"/>
      <c r="F197" s="4" t="n">
        <v>4642</v>
      </c>
    </row>
    <row r="198">
      <c r="A198" s="8" t="inlineStr">
        <is>
          <t>06/2010</t>
        </is>
      </c>
      <c r="B198" s="4" t="n">
        <v>2780</v>
      </c>
      <c r="C198" s="4" t="n"/>
      <c r="D198" s="4">
        <f>IF(C198="",B198,MIN(B198,C198))</f>
        <v/>
      </c>
      <c r="E198" s="17" t="n"/>
      <c r="F198" s="4" t="n">
        <v>4642</v>
      </c>
    </row>
    <row r="199">
      <c r="A199" s="8" t="inlineStr">
        <is>
          <t>07/2010</t>
        </is>
      </c>
      <c r="B199" s="4" t="n">
        <v>2780</v>
      </c>
      <c r="C199" s="4" t="n"/>
      <c r="D199" s="4">
        <f>IF(C199="",B199,MIN(B199,C199))</f>
        <v/>
      </c>
      <c r="E199" s="17" t="n"/>
      <c r="F199" s="4" t="n">
        <v>4642</v>
      </c>
    </row>
    <row r="200">
      <c r="A200" s="8" t="inlineStr">
        <is>
          <t>08/2010</t>
        </is>
      </c>
      <c r="B200" s="4" t="n">
        <v>2780</v>
      </c>
      <c r="C200" s="4" t="n"/>
      <c r="D200" s="4">
        <f>IF(C200="",B200,MIN(B200,C200))</f>
        <v/>
      </c>
      <c r="E200" s="17" t="n"/>
      <c r="F200" s="4" t="n">
        <v>4642</v>
      </c>
    </row>
    <row r="201">
      <c r="A201" s="8" t="inlineStr">
        <is>
          <t>09/2010</t>
        </is>
      </c>
      <c r="B201" s="4" t="n">
        <v>2780</v>
      </c>
      <c r="C201" s="4" t="n"/>
      <c r="D201" s="4">
        <f>IF(C201="",B201,MIN(B201,C201))</f>
        <v/>
      </c>
      <c r="E201" s="17" t="n"/>
      <c r="F201" s="4" t="n">
        <v>4642</v>
      </c>
    </row>
    <row r="202">
      <c r="A202" s="8" t="inlineStr">
        <is>
          <t>10/2010</t>
        </is>
      </c>
      <c r="B202" s="4" t="n">
        <v>2780</v>
      </c>
      <c r="C202" s="4" t="n"/>
      <c r="D202" s="4">
        <f>IF(C202="",B202,MIN(B202,C202))</f>
        <v/>
      </c>
      <c r="E202" s="17" t="n"/>
      <c r="F202" s="4" t="n">
        <v>4642</v>
      </c>
    </row>
    <row r="203">
      <c r="A203" s="8" t="inlineStr">
        <is>
          <t>11/2010</t>
        </is>
      </c>
      <c r="B203" s="4" t="n">
        <v>2780</v>
      </c>
      <c r="C203" s="4" t="n"/>
      <c r="D203" s="4">
        <f>IF(C203="",B203,MIN(B203,C203))</f>
        <v/>
      </c>
      <c r="E203" s="17" t="n"/>
      <c r="F203" s="4" t="n">
        <v>4642</v>
      </c>
    </row>
    <row r="204">
      <c r="A204" s="8" t="inlineStr">
        <is>
          <t>12/2010</t>
        </is>
      </c>
      <c r="B204" s="4" t="n">
        <v>2780</v>
      </c>
      <c r="C204" s="4" t="n"/>
      <c r="D204" s="4">
        <f>IF(C204="",B204,MIN(B204,C204))</f>
        <v/>
      </c>
      <c r="E204" s="17" t="n"/>
      <c r="F204" s="4" t="n">
        <v>4642</v>
      </c>
    </row>
    <row r="205">
      <c r="A205" s="8" t="inlineStr">
        <is>
          <t>01/2011</t>
        </is>
      </c>
      <c r="B205" s="4" t="n">
        <v>2860</v>
      </c>
      <c r="C205" s="4" t="n"/>
      <c r="D205" s="4">
        <f>IF(C205="",B205,MIN(B205,C205))</f>
        <v/>
      </c>
      <c r="E205" s="17" t="n"/>
      <c r="F205" s="4" t="n">
        <v>4754</v>
      </c>
    </row>
    <row r="206">
      <c r="A206" s="8" t="inlineStr">
        <is>
          <t>02/2011</t>
        </is>
      </c>
      <c r="B206" s="4" t="n">
        <v>2860</v>
      </c>
      <c r="C206" s="4" t="n"/>
      <c r="D206" s="4">
        <f>IF(C206="",B206,MIN(B206,C206))</f>
        <v/>
      </c>
      <c r="E206" s="17" t="n"/>
      <c r="F206" s="4" t="n">
        <v>4754</v>
      </c>
    </row>
    <row r="207">
      <c r="A207" s="8" t="inlineStr">
        <is>
          <t>03/2011</t>
        </is>
      </c>
      <c r="B207" s="4" t="n">
        <v>2860</v>
      </c>
      <c r="C207" s="4" t="n"/>
      <c r="D207" s="4">
        <f>IF(C207="",B207,MIN(B207,C207))</f>
        <v/>
      </c>
      <c r="E207" s="17" t="n"/>
      <c r="F207" s="4" t="n">
        <v>4754</v>
      </c>
    </row>
    <row r="208">
      <c r="A208" s="8" t="inlineStr">
        <is>
          <t>04/2011</t>
        </is>
      </c>
      <c r="B208" s="4" t="n">
        <v>2860</v>
      </c>
      <c r="C208" s="4" t="n"/>
      <c r="D208" s="4">
        <f>IF(C208="",B208,MIN(B208,C208))</f>
        <v/>
      </c>
      <c r="E208" s="17" t="n"/>
      <c r="F208" s="4" t="n">
        <v>4754</v>
      </c>
    </row>
    <row r="209">
      <c r="A209" s="8" t="inlineStr">
        <is>
          <t>05/2011</t>
        </is>
      </c>
      <c r="B209" s="4" t="n">
        <v>2860</v>
      </c>
      <c r="C209" s="4" t="n"/>
      <c r="D209" s="4">
        <f>IF(C209="",B209,MIN(B209,C209))</f>
        <v/>
      </c>
      <c r="E209" s="17" t="n"/>
      <c r="F209" s="4" t="n">
        <v>4754</v>
      </c>
    </row>
    <row r="210">
      <c r="A210" s="8" t="inlineStr">
        <is>
          <t>06/2011</t>
        </is>
      </c>
      <c r="B210" s="4" t="n">
        <v>2860</v>
      </c>
      <c r="C210" s="4" t="n"/>
      <c r="D210" s="4">
        <f>IF(C210="",B210,MIN(B210,C210))</f>
        <v/>
      </c>
      <c r="E210" s="17" t="n"/>
      <c r="F210" s="4" t="n">
        <v>4754</v>
      </c>
    </row>
    <row r="211">
      <c r="A211" s="8" t="inlineStr">
        <is>
          <t>07/2011</t>
        </is>
      </c>
      <c r="B211" s="4" t="n">
        <v>2860</v>
      </c>
      <c r="C211" s="4" t="n"/>
      <c r="D211" s="4">
        <f>IF(C211="",B211,MIN(B211,C211))</f>
        <v/>
      </c>
      <c r="E211" s="17" t="n"/>
      <c r="F211" s="4" t="n">
        <v>4754</v>
      </c>
    </row>
    <row r="212">
      <c r="A212" s="8" t="inlineStr">
        <is>
          <t>08/2011</t>
        </is>
      </c>
      <c r="B212" s="4" t="n">
        <v>2860</v>
      </c>
      <c r="C212" s="4" t="n"/>
      <c r="D212" s="4">
        <f>IF(C212="",B212,MIN(B212,C212))</f>
        <v/>
      </c>
      <c r="E212" s="17" t="n"/>
      <c r="F212" s="4" t="n">
        <v>4754</v>
      </c>
    </row>
    <row r="213">
      <c r="A213" s="8" t="inlineStr">
        <is>
          <t>09/2011</t>
        </is>
      </c>
      <c r="B213" s="4" t="n">
        <v>2860</v>
      </c>
      <c r="C213" s="4" t="n"/>
      <c r="D213" s="4">
        <f>IF(C213="",B213,MIN(B213,C213))</f>
        <v/>
      </c>
      <c r="E213" s="17" t="n"/>
      <c r="F213" s="4" t="n">
        <v>4754</v>
      </c>
    </row>
    <row r="214">
      <c r="A214" s="8" t="inlineStr">
        <is>
          <t>10/2011</t>
        </is>
      </c>
      <c r="B214" s="4" t="n">
        <v>2860</v>
      </c>
      <c r="C214" s="4" t="n"/>
      <c r="D214" s="4">
        <f>IF(C214="",B214,MIN(B214,C214))</f>
        <v/>
      </c>
      <c r="E214" s="17" t="n"/>
      <c r="F214" s="4" t="n">
        <v>4754</v>
      </c>
    </row>
    <row r="215">
      <c r="A215" s="8" t="inlineStr">
        <is>
          <t>11/2011</t>
        </is>
      </c>
      <c r="B215" s="4" t="n">
        <v>2860</v>
      </c>
      <c r="C215" s="4" t="n"/>
      <c r="D215" s="4">
        <f>IF(C215="",B215,MIN(B215,C215))</f>
        <v/>
      </c>
      <c r="E215" s="17" t="n"/>
      <c r="F215" s="4" t="n">
        <v>4754</v>
      </c>
    </row>
    <row r="216">
      <c r="A216" s="8" t="inlineStr">
        <is>
          <t>12/2011</t>
        </is>
      </c>
      <c r="B216" s="4" t="n">
        <v>2860</v>
      </c>
      <c r="C216" s="4" t="n"/>
      <c r="D216" s="4">
        <f>IF(C216="",B216,MIN(B216,C216))</f>
        <v/>
      </c>
      <c r="E216" s="17" t="n"/>
      <c r="F216" s="4" t="n">
        <v>4754</v>
      </c>
    </row>
    <row r="217">
      <c r="A217" s="8" t="inlineStr">
        <is>
          <t>01/2012</t>
        </is>
      </c>
      <c r="B217" s="4" t="n">
        <v>2940</v>
      </c>
      <c r="C217" s="4" t="n"/>
      <c r="D217" s="4">
        <f>IF(C217="",B217,MIN(B217,C217))</f>
        <v/>
      </c>
      <c r="E217" s="17" t="n"/>
      <c r="F217" s="4" t="n">
        <v>4866</v>
      </c>
    </row>
    <row r="218">
      <c r="A218" s="8" t="inlineStr">
        <is>
          <t>02/2012</t>
        </is>
      </c>
      <c r="B218" s="4" t="n">
        <v>2940</v>
      </c>
      <c r="C218" s="4" t="n"/>
      <c r="D218" s="4">
        <f>IF(C218="",B218,MIN(B218,C218))</f>
        <v/>
      </c>
      <c r="E218" s="17" t="n"/>
      <c r="F218" s="4" t="n">
        <v>4866</v>
      </c>
    </row>
    <row r="219">
      <c r="A219" s="8" t="inlineStr">
        <is>
          <t>03/2012</t>
        </is>
      </c>
      <c r="B219" s="4" t="n">
        <v>2940</v>
      </c>
      <c r="C219" s="4" t="n"/>
      <c r="D219" s="4">
        <f>IF(C219="",B219,MIN(B219,C219))</f>
        <v/>
      </c>
      <c r="E219" s="17" t="n"/>
      <c r="F219" s="4" t="n">
        <v>4866</v>
      </c>
    </row>
    <row r="220">
      <c r="A220" s="8" t="inlineStr">
        <is>
          <t>04/2012</t>
        </is>
      </c>
      <c r="B220" s="4" t="n">
        <v>2940</v>
      </c>
      <c r="C220" s="4" t="n"/>
      <c r="D220" s="4">
        <f>IF(C220="",B220,MIN(B220,C220))</f>
        <v/>
      </c>
      <c r="E220" s="17" t="n"/>
      <c r="F220" s="4" t="n">
        <v>4866</v>
      </c>
    </row>
    <row r="221">
      <c r="A221" s="8" t="inlineStr">
        <is>
          <t>05/2012</t>
        </is>
      </c>
      <c r="B221" s="4" t="n">
        <v>2940</v>
      </c>
      <c r="C221" s="4" t="n"/>
      <c r="D221" s="4">
        <f>IF(C221="",B221,MIN(B221,C221))</f>
        <v/>
      </c>
      <c r="E221" s="17" t="n"/>
      <c r="F221" s="4" t="n">
        <v>4866</v>
      </c>
    </row>
    <row r="222">
      <c r="A222" s="8" t="inlineStr">
        <is>
          <t>06/2012</t>
        </is>
      </c>
      <c r="B222" s="4" t="n">
        <v>2940</v>
      </c>
      <c r="C222" s="4" t="n"/>
      <c r="D222" s="4">
        <f>IF(C222="",B222,MIN(B222,C222))</f>
        <v/>
      </c>
      <c r="E222" s="17" t="n"/>
      <c r="F222" s="4" t="n">
        <v>4866</v>
      </c>
    </row>
    <row r="223">
      <c r="A223" s="8" t="inlineStr">
        <is>
          <t>07/2012</t>
        </is>
      </c>
      <c r="B223" s="4" t="n">
        <v>2940</v>
      </c>
      <c r="C223" s="4" t="n"/>
      <c r="D223" s="4">
        <f>IF(C223="",B223,MIN(B223,C223))</f>
        <v/>
      </c>
      <c r="E223" s="17" t="n"/>
      <c r="F223" s="4" t="n">
        <v>4866</v>
      </c>
    </row>
    <row r="224">
      <c r="A224" s="8" t="inlineStr">
        <is>
          <t>08/2012</t>
        </is>
      </c>
      <c r="B224" s="4" t="n">
        <v>2940</v>
      </c>
      <c r="C224" s="4" t="n"/>
      <c r="D224" s="4">
        <f>IF(C224="",B224,MIN(B224,C224))</f>
        <v/>
      </c>
      <c r="E224" s="17" t="n"/>
      <c r="F224" s="4" t="n">
        <v>4866</v>
      </c>
    </row>
    <row r="225">
      <c r="A225" s="8" t="inlineStr">
        <is>
          <t>09/2012</t>
        </is>
      </c>
      <c r="B225" s="4" t="n">
        <v>2940</v>
      </c>
      <c r="C225" s="4" t="n"/>
      <c r="D225" s="4">
        <f>IF(C225="",B225,MIN(B225,C225))</f>
        <v/>
      </c>
      <c r="E225" s="17" t="n"/>
      <c r="F225" s="4" t="n">
        <v>4866</v>
      </c>
    </row>
    <row r="226">
      <c r="A226" s="8" t="inlineStr">
        <is>
          <t>10/2012</t>
        </is>
      </c>
      <c r="B226" s="4" t="n">
        <v>2940</v>
      </c>
      <c r="C226" s="4" t="n"/>
      <c r="D226" s="4">
        <f>IF(C226="",B226,MIN(B226,C226))</f>
        <v/>
      </c>
      <c r="E226" s="17" t="n"/>
      <c r="F226" s="4" t="n">
        <v>4866</v>
      </c>
    </row>
    <row r="227">
      <c r="A227" s="8" t="inlineStr">
        <is>
          <t>11/2012</t>
        </is>
      </c>
      <c r="B227" s="4" t="n">
        <v>2940</v>
      </c>
      <c r="C227" s="4" t="n"/>
      <c r="D227" s="4">
        <f>IF(C227="",B227,MIN(B227,C227))</f>
        <v/>
      </c>
      <c r="E227" s="17" t="n"/>
      <c r="F227" s="4" t="n">
        <v>4866</v>
      </c>
    </row>
    <row r="228">
      <c r="A228" s="8" t="inlineStr">
        <is>
          <t>12/2012</t>
        </is>
      </c>
      <c r="B228" s="4" t="n">
        <v>2940</v>
      </c>
      <c r="C228" s="4" t="n"/>
      <c r="D228" s="4">
        <f>IF(C228="",B228,MIN(B228,C228))</f>
        <v/>
      </c>
      <c r="E228" s="17" t="n"/>
      <c r="F228" s="4" t="n">
        <v>4866</v>
      </c>
    </row>
    <row r="229">
      <c r="A229" s="8" t="inlineStr">
        <is>
          <t>01/2013</t>
        </is>
      </c>
      <c r="B229" s="4" t="n">
        <v>3020</v>
      </c>
      <c r="C229" s="4" t="n"/>
      <c r="D229" s="4">
        <f>IF(C229="",B229,MIN(B229,C229))</f>
        <v/>
      </c>
      <c r="E229" s="17" t="n"/>
      <c r="F229" s="4" t="n">
        <v>4978</v>
      </c>
    </row>
    <row r="230">
      <c r="A230" s="8" t="inlineStr">
        <is>
          <t>02/2013</t>
        </is>
      </c>
      <c r="B230" s="4" t="n">
        <v>3020</v>
      </c>
      <c r="C230" s="4" t="n"/>
      <c r="D230" s="4">
        <f>IF(C230="",B230,MIN(B230,C230))</f>
        <v/>
      </c>
      <c r="E230" s="17" t="n"/>
      <c r="F230" s="4" t="n">
        <v>4978</v>
      </c>
    </row>
    <row r="231">
      <c r="A231" s="8" t="inlineStr">
        <is>
          <t>03/2013</t>
        </is>
      </c>
      <c r="B231" s="4" t="n">
        <v>3020</v>
      </c>
      <c r="C231" s="4" t="n"/>
      <c r="D231" s="4">
        <f>IF(C231="",B231,MIN(B231,C231))</f>
        <v/>
      </c>
      <c r="E231" s="17" t="n"/>
      <c r="F231" s="4" t="n">
        <v>4978</v>
      </c>
    </row>
    <row r="232">
      <c r="A232" s="8" t="inlineStr">
        <is>
          <t>04/2013</t>
        </is>
      </c>
      <c r="B232" s="4" t="n">
        <v>3020</v>
      </c>
      <c r="C232" s="4" t="n"/>
      <c r="D232" s="4">
        <f>IF(C232="",B232,MIN(B232,C232))</f>
        <v/>
      </c>
      <c r="E232" s="17" t="n"/>
      <c r="F232" s="4" t="n">
        <v>4978</v>
      </c>
    </row>
    <row r="233">
      <c r="A233" s="8" t="inlineStr">
        <is>
          <t>05/2013</t>
        </is>
      </c>
      <c r="B233" s="4" t="n">
        <v>3020</v>
      </c>
      <c r="C233" s="4" t="n"/>
      <c r="D233" s="4">
        <f>IF(C233="",B233,MIN(B233,C233))</f>
        <v/>
      </c>
      <c r="E233" s="17" t="n"/>
      <c r="F233" s="4" t="n">
        <v>4978</v>
      </c>
    </row>
    <row r="234">
      <c r="A234" s="8" t="inlineStr">
        <is>
          <t>06/2013</t>
        </is>
      </c>
      <c r="B234" s="4" t="n">
        <v>3020</v>
      </c>
      <c r="C234" s="4" t="n"/>
      <c r="D234" s="4">
        <f>IF(C234="",B234,MIN(B234,C234))</f>
        <v/>
      </c>
      <c r="E234" s="17" t="n"/>
      <c r="F234" s="4" t="n">
        <v>4978</v>
      </c>
    </row>
    <row r="235">
      <c r="A235" s="8" t="inlineStr">
        <is>
          <t>07/2013</t>
        </is>
      </c>
      <c r="B235" s="4" t="n">
        <v>3020</v>
      </c>
      <c r="C235" s="4" t="n"/>
      <c r="D235" s="4">
        <f>IF(C235="",B235,MIN(B235,C235))</f>
        <v/>
      </c>
      <c r="E235" s="17" t="n"/>
      <c r="F235" s="4" t="n">
        <v>4978</v>
      </c>
    </row>
    <row r="236">
      <c r="A236" s="8" t="inlineStr">
        <is>
          <t>08/2013</t>
        </is>
      </c>
      <c r="B236" s="4" t="n">
        <v>3020</v>
      </c>
      <c r="C236" s="4" t="n"/>
      <c r="D236" s="4">
        <f>IF(C236="",B236,MIN(B236,C236))</f>
        <v/>
      </c>
      <c r="E236" s="17" t="n"/>
      <c r="F236" s="4" t="n">
        <v>4978</v>
      </c>
    </row>
    <row r="237">
      <c r="A237" s="8" t="inlineStr">
        <is>
          <t>09/2013</t>
        </is>
      </c>
      <c r="B237" s="4" t="n">
        <v>3020</v>
      </c>
      <c r="C237" s="4" t="n"/>
      <c r="D237" s="4">
        <f>IF(C237="",B237,MIN(B237,C237))</f>
        <v/>
      </c>
      <c r="E237" s="17" t="n"/>
      <c r="F237" s="4" t="n">
        <v>4978</v>
      </c>
    </row>
    <row r="238">
      <c r="A238" s="8" t="inlineStr">
        <is>
          <t>10/2013</t>
        </is>
      </c>
      <c r="B238" s="4" t="n">
        <v>3020</v>
      </c>
      <c r="C238" s="4" t="n"/>
      <c r="D238" s="4">
        <f>IF(C238="",B238,MIN(B238,C238))</f>
        <v/>
      </c>
      <c r="E238" s="17" t="n"/>
      <c r="F238" s="4" t="n">
        <v>4978</v>
      </c>
    </row>
    <row r="239">
      <c r="A239" s="8" t="inlineStr">
        <is>
          <t>11/2013</t>
        </is>
      </c>
      <c r="B239" s="4" t="n">
        <v>3020</v>
      </c>
      <c r="C239" s="4" t="n"/>
      <c r="D239" s="4">
        <f>IF(C239="",B239,MIN(B239,C239))</f>
        <v/>
      </c>
      <c r="E239" s="17" t="n"/>
      <c r="F239" s="4" t="n">
        <v>4978</v>
      </c>
    </row>
    <row r="240">
      <c r="A240" s="8" t="inlineStr">
        <is>
          <t>12/2013</t>
        </is>
      </c>
      <c r="B240" s="4" t="n">
        <v>3020</v>
      </c>
      <c r="C240" s="4" t="n"/>
      <c r="D240" s="4">
        <f>IF(C240="",B240,MIN(B240,C240))</f>
        <v/>
      </c>
      <c r="E240" s="17" t="n"/>
      <c r="F240" s="4" t="n">
        <v>4978</v>
      </c>
    </row>
    <row r="241">
      <c r="A241" s="8" t="inlineStr">
        <is>
          <t>01/2014</t>
        </is>
      </c>
      <c r="B241" s="4" t="n">
        <v>3100</v>
      </c>
      <c r="C241" s="4" t="n"/>
      <c r="D241" s="4">
        <f>IF(C241="",B241,MIN(B241,C241))</f>
        <v/>
      </c>
      <c r="E241" s="17" t="n"/>
      <c r="F241" s="4" t="n">
        <v>5090</v>
      </c>
    </row>
    <row r="242">
      <c r="A242" s="8" t="inlineStr">
        <is>
          <t>02/2014</t>
        </is>
      </c>
      <c r="B242" s="4" t="n">
        <v>3100</v>
      </c>
      <c r="C242" s="4" t="n"/>
      <c r="D242" s="4">
        <f>IF(C242="",B242,MIN(B242,C242))</f>
        <v/>
      </c>
      <c r="E242" s="17" t="n"/>
      <c r="F242" s="4" t="n">
        <v>5090</v>
      </c>
    </row>
    <row r="243">
      <c r="A243" s="8" t="inlineStr">
        <is>
          <t>03/2014</t>
        </is>
      </c>
      <c r="B243" s="4" t="n">
        <v>3100</v>
      </c>
      <c r="C243" s="4" t="n"/>
      <c r="D243" s="4">
        <f>IF(C243="",B243,MIN(B243,C243))</f>
        <v/>
      </c>
      <c r="E243" s="17" t="n"/>
      <c r="F243" s="4" t="n">
        <v>5090</v>
      </c>
    </row>
    <row r="244">
      <c r="A244" s="8" t="inlineStr">
        <is>
          <t>04/2014</t>
        </is>
      </c>
      <c r="B244" s="4" t="n">
        <v>3100</v>
      </c>
      <c r="C244" s="4" t="n"/>
      <c r="D244" s="4">
        <f>IF(C244="",B244,MIN(B244,C244))</f>
        <v/>
      </c>
      <c r="E244" s="17" t="n"/>
      <c r="F244" s="4" t="n">
        <v>5090</v>
      </c>
    </row>
    <row r="245">
      <c r="A245" s="8" t="inlineStr">
        <is>
          <t>05/2014</t>
        </is>
      </c>
      <c r="B245" s="4" t="n">
        <v>3100</v>
      </c>
      <c r="C245" s="4" t="n"/>
      <c r="D245" s="4">
        <f>IF(C245="",B245,MIN(B245,C245))</f>
        <v/>
      </c>
      <c r="E245" s="17" t="n"/>
      <c r="F245" s="4" t="n">
        <v>5090</v>
      </c>
    </row>
    <row r="246">
      <c r="A246" s="8" t="inlineStr">
        <is>
          <t>06/2014</t>
        </is>
      </c>
      <c r="B246" s="4" t="n">
        <v>3100</v>
      </c>
      <c r="C246" s="4" t="n"/>
      <c r="D246" s="4">
        <f>IF(C246="",B246,MIN(B246,C246))</f>
        <v/>
      </c>
      <c r="E246" s="17" t="n"/>
      <c r="F246" s="4" t="n">
        <v>5090</v>
      </c>
    </row>
    <row r="247">
      <c r="A247" s="8" t="inlineStr">
        <is>
          <t>07/2014</t>
        </is>
      </c>
      <c r="B247" s="4" t="n">
        <v>3100</v>
      </c>
      <c r="C247" s="4" t="n"/>
      <c r="D247" s="4">
        <f>IF(C247="",B247,MIN(B247,C247))</f>
        <v/>
      </c>
      <c r="E247" s="17" t="n"/>
      <c r="F247" s="4" t="n">
        <v>5090</v>
      </c>
    </row>
    <row r="248">
      <c r="A248" s="8" t="inlineStr">
        <is>
          <t>08/2014</t>
        </is>
      </c>
      <c r="B248" s="4" t="n">
        <v>3100</v>
      </c>
      <c r="C248" s="4" t="n"/>
      <c r="D248" s="4">
        <f>IF(C248="",B248,MIN(B248,C248))</f>
        <v/>
      </c>
      <c r="E248" s="17" t="n"/>
      <c r="F248" s="4" t="n">
        <v>5090</v>
      </c>
    </row>
    <row r="249">
      <c r="A249" s="8" t="inlineStr">
        <is>
          <t>09/2014</t>
        </is>
      </c>
      <c r="B249" s="4" t="n">
        <v>3100</v>
      </c>
      <c r="C249" s="4" t="n"/>
      <c r="D249" s="4">
        <f>IF(C249="",B249,MIN(B249,C249))</f>
        <v/>
      </c>
      <c r="E249" s="17" t="n"/>
      <c r="F249" s="4" t="n">
        <v>5090</v>
      </c>
    </row>
    <row r="250">
      <c r="A250" s="8" t="inlineStr">
        <is>
          <t>10/2014</t>
        </is>
      </c>
      <c r="B250" s="4" t="n">
        <v>3100</v>
      </c>
      <c r="C250" s="4" t="n"/>
      <c r="D250" s="4">
        <f>IF(C250="",B250,MIN(B250,C250))</f>
        <v/>
      </c>
      <c r="E250" s="17" t="n"/>
      <c r="F250" s="4" t="n">
        <v>5090</v>
      </c>
    </row>
    <row r="251">
      <c r="A251" s="8" t="inlineStr">
        <is>
          <t>11/2014</t>
        </is>
      </c>
      <c r="B251" s="4" t="n">
        <v>3100</v>
      </c>
      <c r="C251" s="4" t="n"/>
      <c r="D251" s="4">
        <f>IF(C251="",B251,MIN(B251,C251))</f>
        <v/>
      </c>
      <c r="E251" s="17" t="n"/>
      <c r="F251" s="4" t="n">
        <v>5090</v>
      </c>
    </row>
    <row r="252">
      <c r="A252" s="8" t="inlineStr">
        <is>
          <t>12/2014</t>
        </is>
      </c>
      <c r="B252" s="4" t="n">
        <v>3100</v>
      </c>
      <c r="C252" s="4" t="n"/>
      <c r="D252" s="4">
        <f>IF(C252="",B252,MIN(B252,C252))</f>
        <v/>
      </c>
      <c r="E252" s="17" t="n"/>
      <c r="F252" s="4" t="n">
        <v>5090</v>
      </c>
    </row>
    <row r="253">
      <c r="A253" s="8" t="inlineStr">
        <is>
          <t>01/2015</t>
        </is>
      </c>
      <c r="B253" s="4" t="n">
        <v>3180</v>
      </c>
      <c r="C253" s="4" t="n">
        <v>4663.75</v>
      </c>
      <c r="D253" s="4">
        <f>IF(C253="",B253,MIN(B253,C253))</f>
        <v/>
      </c>
      <c r="E253" s="17" t="n"/>
      <c r="F253" s="4" t="n">
        <v>5202</v>
      </c>
    </row>
    <row r="254">
      <c r="A254" s="8" t="inlineStr">
        <is>
          <t>02/2015</t>
        </is>
      </c>
      <c r="B254" s="4" t="n">
        <v>3180</v>
      </c>
      <c r="C254" s="4" t="n">
        <v>4663.75</v>
      </c>
      <c r="D254" s="4">
        <f>IF(C254="",B254,MIN(B254,C254))</f>
        <v/>
      </c>
      <c r="E254" s="17" t="n"/>
      <c r="F254" s="4" t="n">
        <v>5202</v>
      </c>
    </row>
    <row r="255">
      <c r="A255" s="8" t="inlineStr">
        <is>
          <t>03/2015</t>
        </is>
      </c>
      <c r="B255" s="4" t="n">
        <v>3180</v>
      </c>
      <c r="C255" s="4" t="n">
        <v>4663.75</v>
      </c>
      <c r="D255" s="4">
        <f>IF(C255="",B255,MIN(B255,C255))</f>
        <v/>
      </c>
      <c r="E255" s="17" t="n"/>
      <c r="F255" s="4" t="n">
        <v>5202</v>
      </c>
    </row>
    <row r="256">
      <c r="A256" s="8" t="inlineStr">
        <is>
          <t>04/2015</t>
        </is>
      </c>
      <c r="B256" s="4" t="n">
        <v>3180</v>
      </c>
      <c r="C256" s="4" t="n">
        <v>4663.75</v>
      </c>
      <c r="D256" s="4">
        <f>IF(C256="",B256,MIN(B256,C256))</f>
        <v/>
      </c>
      <c r="E256" s="17" t="n"/>
      <c r="F256" s="4" t="n">
        <v>5202</v>
      </c>
    </row>
    <row r="257">
      <c r="A257" s="8" t="inlineStr">
        <is>
          <t>05/2015</t>
        </is>
      </c>
      <c r="B257" s="4" t="n">
        <v>3180</v>
      </c>
      <c r="C257" s="4" t="n">
        <v>4663.75</v>
      </c>
      <c r="D257" s="4">
        <f>IF(C257="",B257,MIN(B257,C257))</f>
        <v/>
      </c>
      <c r="E257" s="17" t="n"/>
      <c r="F257" s="4" t="n">
        <v>5202</v>
      </c>
    </row>
    <row r="258">
      <c r="A258" s="8" t="inlineStr">
        <is>
          <t>06/2015</t>
        </is>
      </c>
      <c r="B258" s="4" t="n">
        <v>3180</v>
      </c>
      <c r="C258" s="4" t="n">
        <v>4663.75</v>
      </c>
      <c r="D258" s="4">
        <f>IF(C258="",B258,MIN(B258,C258))</f>
        <v/>
      </c>
      <c r="E258" s="17" t="n"/>
      <c r="F258" s="4" t="n">
        <v>5202</v>
      </c>
    </row>
    <row r="259">
      <c r="A259" s="8" t="inlineStr">
        <is>
          <t>07/2015</t>
        </is>
      </c>
      <c r="B259" s="4" t="n">
        <v>3180</v>
      </c>
      <c r="C259" s="4" t="n">
        <v>4663.75</v>
      </c>
      <c r="D259" s="4">
        <f>IF(C259="",B259,MIN(B259,C259))</f>
        <v/>
      </c>
      <c r="E259" s="17" t="n"/>
      <c r="F259" s="4" t="n">
        <v>5202</v>
      </c>
    </row>
    <row r="260">
      <c r="A260" s="8" t="inlineStr">
        <is>
          <t>08/2015</t>
        </is>
      </c>
      <c r="B260" s="4" t="n">
        <v>3180</v>
      </c>
      <c r="C260" s="4" t="n">
        <v>4663.75</v>
      </c>
      <c r="D260" s="4">
        <f>IF(C260="",B260,MIN(B260,C260))</f>
        <v/>
      </c>
      <c r="E260" s="17" t="n"/>
      <c r="F260" s="4" t="n">
        <v>5202</v>
      </c>
    </row>
    <row r="261">
      <c r="A261" s="8" t="inlineStr">
        <is>
          <t>09/2015</t>
        </is>
      </c>
      <c r="B261" s="4" t="n">
        <v>3180</v>
      </c>
      <c r="C261" s="4" t="n">
        <v>4663.75</v>
      </c>
      <c r="D261" s="4">
        <f>IF(C261="",B261,MIN(B261,C261))</f>
        <v/>
      </c>
      <c r="E261" s="17" t="n"/>
      <c r="F261" s="4" t="n">
        <v>5202</v>
      </c>
    </row>
    <row r="262">
      <c r="A262" s="8" t="inlineStr">
        <is>
          <t>10/2015</t>
        </is>
      </c>
      <c r="B262" s="4" t="n">
        <v>3180</v>
      </c>
      <c r="C262" s="4" t="n">
        <v>4663.75</v>
      </c>
      <c r="D262" s="4">
        <f>IF(C262="",B262,MIN(B262,C262))</f>
        <v/>
      </c>
      <c r="E262" s="17" t="n"/>
      <c r="F262" s="4" t="n">
        <v>5202</v>
      </c>
    </row>
    <row r="263">
      <c r="A263" s="8" t="inlineStr">
        <is>
          <t>11/2015</t>
        </is>
      </c>
      <c r="B263" s="4" t="n">
        <v>3180</v>
      </c>
      <c r="C263" s="4" t="n">
        <v>4663.75</v>
      </c>
      <c r="D263" s="4">
        <f>IF(C263="",B263,MIN(B263,C263))</f>
        <v/>
      </c>
      <c r="E263" s="17" t="n"/>
      <c r="F263" s="4" t="n">
        <v>5202</v>
      </c>
    </row>
    <row r="264">
      <c r="A264" s="8" t="inlineStr">
        <is>
          <t>12/2015</t>
        </is>
      </c>
      <c r="B264" s="4" t="n">
        <v>3180</v>
      </c>
      <c r="C264" s="4" t="n">
        <v>4663.75</v>
      </c>
      <c r="D264" s="4">
        <f>IF(C264="",B264,MIN(B264,C264))</f>
        <v/>
      </c>
      <c r="E264" s="17" t="n"/>
      <c r="F264" s="4" t="n">
        <v>5202</v>
      </c>
    </row>
    <row r="265">
      <c r="A265" s="8" t="inlineStr">
        <is>
          <t>01/2016</t>
        </is>
      </c>
      <c r="B265" s="4" t="n">
        <v>3260</v>
      </c>
      <c r="C265" s="4" t="n">
        <v>5189.82</v>
      </c>
      <c r="D265" s="4">
        <f>IF(C265="",B265,MIN(B265,C265))</f>
        <v/>
      </c>
      <c r="E265" s="17" t="n"/>
      <c r="F265" s="4" t="n">
        <v>5314</v>
      </c>
    </row>
    <row r="266">
      <c r="A266" s="8" t="inlineStr">
        <is>
          <t>02/2016</t>
        </is>
      </c>
      <c r="B266" s="4" t="n">
        <v>3260</v>
      </c>
      <c r="C266" s="4" t="n">
        <v>5189.82</v>
      </c>
      <c r="D266" s="4">
        <f>IF(C266="",B266,MIN(B266,C266))</f>
        <v/>
      </c>
      <c r="E266" s="17" t="n"/>
      <c r="F266" s="4" t="n">
        <v>5314</v>
      </c>
    </row>
    <row r="267">
      <c r="A267" s="8" t="inlineStr">
        <is>
          <t>03/2016</t>
        </is>
      </c>
      <c r="B267" s="4" t="n">
        <v>3260</v>
      </c>
      <c r="C267" s="4" t="n">
        <v>5189.82</v>
      </c>
      <c r="D267" s="4">
        <f>IF(C267="",B267,MIN(B267,C267))</f>
        <v/>
      </c>
      <c r="E267" s="17" t="n"/>
      <c r="F267" s="4" t="n">
        <v>5314</v>
      </c>
    </row>
    <row r="268">
      <c r="A268" s="8" t="inlineStr">
        <is>
          <t>04/2016</t>
        </is>
      </c>
      <c r="B268" s="4" t="n">
        <v>3260</v>
      </c>
      <c r="C268" s="4" t="n">
        <v>5189.82</v>
      </c>
      <c r="D268" s="4">
        <f>IF(C268="",B268,MIN(B268,C268))</f>
        <v/>
      </c>
      <c r="E268" s="17" t="n"/>
      <c r="F268" s="4" t="n">
        <v>5314</v>
      </c>
    </row>
    <row r="269">
      <c r="A269" s="8" t="inlineStr">
        <is>
          <t>05/2016</t>
        </is>
      </c>
      <c r="B269" s="4" t="n">
        <v>3260</v>
      </c>
      <c r="C269" s="4" t="n">
        <v>5189.82</v>
      </c>
      <c r="D269" s="4">
        <f>IF(C269="",B269,MIN(B269,C269))</f>
        <v/>
      </c>
      <c r="E269" s="17" t="n"/>
      <c r="F269" s="4" t="n">
        <v>5314</v>
      </c>
    </row>
    <row r="270">
      <c r="A270" s="8" t="inlineStr">
        <is>
          <t>06/2016</t>
        </is>
      </c>
      <c r="B270" s="4" t="n">
        <v>3260</v>
      </c>
      <c r="C270" s="4" t="n">
        <v>5189.82</v>
      </c>
      <c r="D270" s="4">
        <f>IF(C270="",B270,MIN(B270,C270))</f>
        <v/>
      </c>
      <c r="E270" s="17" t="n"/>
      <c r="F270" s="4" t="n">
        <v>5314</v>
      </c>
    </row>
    <row r="271">
      <c r="A271" s="8" t="inlineStr">
        <is>
          <t>07/2016</t>
        </is>
      </c>
      <c r="B271" s="4" t="n">
        <v>3260</v>
      </c>
      <c r="C271" s="4" t="n">
        <v>5189.82</v>
      </c>
      <c r="D271" s="4">
        <f>IF(C271="",B271,MIN(B271,C271))</f>
        <v/>
      </c>
      <c r="E271" s="17" t="n"/>
      <c r="F271" s="4" t="n">
        <v>5314</v>
      </c>
    </row>
    <row r="272">
      <c r="A272" s="8" t="inlineStr">
        <is>
          <t>08/2016</t>
        </is>
      </c>
      <c r="B272" s="4" t="n">
        <v>3260</v>
      </c>
      <c r="C272" s="4" t="n">
        <v>5189.82</v>
      </c>
      <c r="D272" s="4">
        <f>IF(C272="",B272,MIN(B272,C272))</f>
        <v/>
      </c>
      <c r="E272" s="17" t="n"/>
      <c r="F272" s="4" t="n">
        <v>5314</v>
      </c>
    </row>
    <row r="273">
      <c r="A273" s="8" t="inlineStr">
        <is>
          <t>09/2016</t>
        </is>
      </c>
      <c r="B273" s="4" t="n">
        <v>3260</v>
      </c>
      <c r="C273" s="4" t="n">
        <v>5189.82</v>
      </c>
      <c r="D273" s="4">
        <f>IF(C273="",B273,MIN(B273,C273))</f>
        <v/>
      </c>
      <c r="E273" s="17" t="n"/>
      <c r="F273" s="4" t="n">
        <v>5314</v>
      </c>
    </row>
    <row r="274">
      <c r="A274" s="8" t="inlineStr">
        <is>
          <t>10/2016</t>
        </is>
      </c>
      <c r="B274" s="4" t="n">
        <v>3260</v>
      </c>
      <c r="C274" s="4" t="n">
        <v>5189.82</v>
      </c>
      <c r="D274" s="4">
        <f>IF(C274="",B274,MIN(B274,C274))</f>
        <v/>
      </c>
      <c r="E274" s="17" t="n"/>
      <c r="F274" s="4" t="n">
        <v>5314</v>
      </c>
    </row>
    <row r="275">
      <c r="A275" s="8" t="inlineStr">
        <is>
          <t>11/2016</t>
        </is>
      </c>
      <c r="B275" s="4" t="n">
        <v>3260</v>
      </c>
      <c r="C275" s="4" t="n">
        <v>5189.82</v>
      </c>
      <c r="D275" s="4">
        <f>IF(C275="",B275,MIN(B275,C275))</f>
        <v/>
      </c>
      <c r="E275" s="17" t="n"/>
      <c r="F275" s="4" t="n">
        <v>5314</v>
      </c>
    </row>
    <row r="276">
      <c r="A276" s="8" t="inlineStr">
        <is>
          <t>12/2016</t>
        </is>
      </c>
      <c r="B276" s="4" t="n">
        <v>3260</v>
      </c>
      <c r="C276" s="4" t="n">
        <v>5189.82</v>
      </c>
      <c r="D276" s="4">
        <f>IF(C276="",B276,MIN(B276,C276))</f>
        <v/>
      </c>
      <c r="E276" s="17" t="n"/>
      <c r="F276" s="4" t="n">
        <v>5314</v>
      </c>
    </row>
    <row r="277">
      <c r="A277" s="8" t="inlineStr">
        <is>
          <t>01/2017</t>
        </is>
      </c>
      <c r="B277" s="4" t="n">
        <v>3340</v>
      </c>
      <c r="C277" s="4" t="n">
        <v>5531.31</v>
      </c>
      <c r="D277" s="4">
        <f>IF(C277="",B277,MIN(B277,C277))</f>
        <v/>
      </c>
      <c r="E277" s="17" t="n"/>
      <c r="F277" s="4" t="n">
        <v>5426</v>
      </c>
    </row>
    <row r="278">
      <c r="A278" s="8" t="inlineStr">
        <is>
          <t>02/2017</t>
        </is>
      </c>
      <c r="B278" s="4" t="n">
        <v>3340</v>
      </c>
      <c r="C278" s="4" t="n">
        <v>5531.31</v>
      </c>
      <c r="D278" s="4">
        <f>IF(C278="",B278,MIN(B278,C278))</f>
        <v/>
      </c>
      <c r="E278" s="17" t="n"/>
      <c r="F278" s="4" t="n">
        <v>5426</v>
      </c>
    </row>
    <row r="279">
      <c r="A279" s="8" t="inlineStr">
        <is>
          <t>03/2017</t>
        </is>
      </c>
      <c r="B279" s="4" t="n">
        <v>3340</v>
      </c>
      <c r="C279" s="4" t="n">
        <v>5531.31</v>
      </c>
      <c r="D279" s="4">
        <f>IF(C279="",B279,MIN(B279,C279))</f>
        <v/>
      </c>
      <c r="E279" s="17" t="n"/>
      <c r="F279" s="4" t="n">
        <v>5426</v>
      </c>
    </row>
    <row r="280">
      <c r="A280" s="8" t="inlineStr">
        <is>
          <t>04/2017</t>
        </is>
      </c>
      <c r="B280" s="4" t="n">
        <v>3340</v>
      </c>
      <c r="C280" s="4" t="n">
        <v>5531.31</v>
      </c>
      <c r="D280" s="4">
        <f>IF(C280="",B280,MIN(B280,C280))</f>
        <v/>
      </c>
      <c r="E280" s="17" t="n"/>
      <c r="F280" s="4" t="n">
        <v>5426</v>
      </c>
    </row>
    <row r="281">
      <c r="A281" s="8" t="inlineStr">
        <is>
          <t>05/2017</t>
        </is>
      </c>
      <c r="B281" s="4" t="n">
        <v>3340</v>
      </c>
      <c r="C281" s="4" t="n">
        <v>5531.31</v>
      </c>
      <c r="D281" s="4">
        <f>IF(C281="",B281,MIN(B281,C281))</f>
        <v/>
      </c>
      <c r="E281" s="17" t="n"/>
      <c r="F281" s="4" t="n">
        <v>5426</v>
      </c>
    </row>
    <row r="282">
      <c r="A282" s="8" t="inlineStr">
        <is>
          <t>06/2017</t>
        </is>
      </c>
      <c r="B282" s="4" t="n">
        <v>3340</v>
      </c>
      <c r="C282" s="4" t="n">
        <v>5531.31</v>
      </c>
      <c r="D282" s="4">
        <f>IF(C282="",B282,MIN(B282,C282))</f>
        <v/>
      </c>
      <c r="E282" s="17" t="n"/>
      <c r="F282" s="4" t="n">
        <v>5426</v>
      </c>
    </row>
    <row r="283">
      <c r="A283" s="8" t="inlineStr">
        <is>
          <t>07/2017</t>
        </is>
      </c>
      <c r="B283" s="4" t="n">
        <v>3340</v>
      </c>
      <c r="C283" s="4" t="n">
        <v>5531.31</v>
      </c>
      <c r="D283" s="4">
        <f>IF(C283="",B283,MIN(B283,C283))</f>
        <v/>
      </c>
      <c r="E283" s="17" t="n"/>
      <c r="F283" s="4" t="n">
        <v>5426</v>
      </c>
    </row>
    <row r="284">
      <c r="A284" s="8" t="inlineStr">
        <is>
          <t>08/2017</t>
        </is>
      </c>
      <c r="B284" s="4" t="n">
        <v>3340</v>
      </c>
      <c r="C284" s="4" t="n">
        <v>5531.31</v>
      </c>
      <c r="D284" s="4">
        <f>IF(C284="",B284,MIN(B284,C284))</f>
        <v/>
      </c>
      <c r="E284" s="17" t="n"/>
      <c r="F284" s="4" t="n">
        <v>5426</v>
      </c>
    </row>
    <row r="285">
      <c r="A285" s="8" t="inlineStr">
        <is>
          <t>09/2017</t>
        </is>
      </c>
      <c r="B285" s="4" t="n">
        <v>3340</v>
      </c>
      <c r="C285" s="4" t="n">
        <v>5531.31</v>
      </c>
      <c r="D285" s="4">
        <f>IF(C285="",B285,MIN(B285,C285))</f>
        <v/>
      </c>
      <c r="E285" s="17" t="n"/>
      <c r="F285" s="4" t="n">
        <v>5426</v>
      </c>
    </row>
    <row r="286">
      <c r="A286" s="8" t="inlineStr">
        <is>
          <t>10/2017</t>
        </is>
      </c>
      <c r="B286" s="4" t="n">
        <v>3340</v>
      </c>
      <c r="C286" s="4" t="n">
        <v>5531.31</v>
      </c>
      <c r="D286" s="4">
        <f>IF(C286="",B286,MIN(B286,C286))</f>
        <v/>
      </c>
      <c r="E286" s="17" t="n"/>
      <c r="F286" s="4" t="n">
        <v>5426</v>
      </c>
    </row>
    <row r="287">
      <c r="A287" s="8" t="inlineStr">
        <is>
          <t>11/2017</t>
        </is>
      </c>
      <c r="B287" s="4" t="n">
        <v>3340</v>
      </c>
      <c r="C287" s="4" t="n">
        <v>5531.31</v>
      </c>
      <c r="D287" s="4">
        <f>IF(C287="",B287,MIN(B287,C287))</f>
        <v/>
      </c>
      <c r="E287" s="17" t="n"/>
      <c r="F287" s="4" t="n">
        <v>5426</v>
      </c>
    </row>
    <row r="288">
      <c r="A288" s="8" t="inlineStr">
        <is>
          <t>12/2017</t>
        </is>
      </c>
      <c r="B288" s="4" t="n">
        <v>3340</v>
      </c>
      <c r="C288" s="4" t="n">
        <v>5531.31</v>
      </c>
      <c r="D288" s="4">
        <f>IF(C288="",B288,MIN(B288,C288))</f>
        <v/>
      </c>
      <c r="E288" s="17" t="n"/>
      <c r="F288" s="4" t="n">
        <v>5426</v>
      </c>
    </row>
    <row r="289">
      <c r="A289" s="8" t="inlineStr">
        <is>
          <t>01/2018</t>
        </is>
      </c>
      <c r="B289" s="4" t="n">
        <v>3420</v>
      </c>
      <c r="C289" s="4" t="n">
        <v>5645.8</v>
      </c>
      <c r="D289" s="4">
        <f>IF(C289="",B289,MIN(B289,C289))</f>
        <v/>
      </c>
      <c r="E289" s="17" t="n"/>
      <c r="F289" s="4" t="n">
        <v>5538</v>
      </c>
    </row>
    <row r="290">
      <c r="A290" s="8" t="inlineStr">
        <is>
          <t>02/2018</t>
        </is>
      </c>
      <c r="B290" s="4" t="n">
        <v>3420</v>
      </c>
      <c r="C290" s="4" t="n">
        <v>5645.8</v>
      </c>
      <c r="D290" s="4">
        <f>IF(C290="",B290,MIN(B290,C290))</f>
        <v/>
      </c>
      <c r="E290" s="17" t="n"/>
      <c r="F290" s="4" t="n">
        <v>5538</v>
      </c>
    </row>
    <row r="291">
      <c r="A291" s="8" t="inlineStr">
        <is>
          <t>03/2018</t>
        </is>
      </c>
      <c r="B291" s="4" t="n">
        <v>3420</v>
      </c>
      <c r="C291" s="4" t="n">
        <v>5645.8</v>
      </c>
      <c r="D291" s="4">
        <f>IF(C291="",B291,MIN(B291,C291))</f>
        <v/>
      </c>
      <c r="E291" s="17" t="n"/>
      <c r="F291" s="4" t="n">
        <v>5538</v>
      </c>
    </row>
    <row r="292">
      <c r="A292" s="8" t="inlineStr">
        <is>
          <t>04/2018</t>
        </is>
      </c>
      <c r="B292" s="4" t="n">
        <v>3420</v>
      </c>
      <c r="C292" s="4" t="n">
        <v>5645.8</v>
      </c>
      <c r="D292" s="4">
        <f>IF(C292="",B292,MIN(B292,C292))</f>
        <v/>
      </c>
      <c r="E292" s="17" t="n"/>
      <c r="F292" s="4" t="n">
        <v>5538</v>
      </c>
    </row>
    <row r="293">
      <c r="A293" s="8" t="inlineStr">
        <is>
          <t>05/2018</t>
        </is>
      </c>
      <c r="B293" s="4" t="n">
        <v>3420</v>
      </c>
      <c r="C293" s="4" t="n">
        <v>5645.8</v>
      </c>
      <c r="D293" s="4">
        <f>IF(C293="",B293,MIN(B293,C293))</f>
        <v/>
      </c>
      <c r="E293" s="17" t="n"/>
      <c r="F293" s="4" t="n">
        <v>5538</v>
      </c>
    </row>
    <row r="294">
      <c r="A294" s="8" t="inlineStr">
        <is>
          <t>06/2018</t>
        </is>
      </c>
      <c r="B294" s="4" t="n">
        <v>3420</v>
      </c>
      <c r="C294" s="4" t="n">
        <v>5645.8</v>
      </c>
      <c r="D294" s="4">
        <f>IF(C294="",B294,MIN(B294,C294))</f>
        <v/>
      </c>
      <c r="E294" s="17" t="n"/>
      <c r="F294" s="4" t="n">
        <v>5538</v>
      </c>
    </row>
    <row r="295">
      <c r="A295" s="8" t="inlineStr">
        <is>
          <t>07/2018</t>
        </is>
      </c>
      <c r="B295" s="4" t="n">
        <v>3420</v>
      </c>
      <c r="C295" s="4" t="n">
        <v>5645.8</v>
      </c>
      <c r="D295" s="4">
        <f>IF(C295="",B295,MIN(B295,C295))</f>
        <v/>
      </c>
      <c r="E295" s="17" t="n"/>
      <c r="F295" s="4" t="n">
        <v>5538</v>
      </c>
    </row>
    <row r="296">
      <c r="A296" s="8" t="inlineStr">
        <is>
          <t>08/2018</t>
        </is>
      </c>
      <c r="B296" s="4" t="n">
        <v>3420</v>
      </c>
      <c r="C296" s="4" t="n">
        <v>5645.8</v>
      </c>
      <c r="D296" s="4">
        <f>IF(C296="",B296,MIN(B296,C296))</f>
        <v/>
      </c>
      <c r="E296" s="17" t="n"/>
      <c r="F296" s="4" t="n">
        <v>5538</v>
      </c>
    </row>
    <row r="297">
      <c r="A297" s="8" t="inlineStr">
        <is>
          <t>09/2018</t>
        </is>
      </c>
      <c r="B297" s="4" t="n">
        <v>3420</v>
      </c>
      <c r="C297" s="4" t="n">
        <v>5645.8</v>
      </c>
      <c r="D297" s="4">
        <f>IF(C297="",B297,MIN(B297,C297))</f>
        <v/>
      </c>
      <c r="E297" s="17" t="n"/>
      <c r="F297" s="4" t="n">
        <v>5538</v>
      </c>
    </row>
    <row r="298">
      <c r="A298" s="8" t="inlineStr">
        <is>
          <t>10/2018</t>
        </is>
      </c>
      <c r="B298" s="4" t="n">
        <v>3420</v>
      </c>
      <c r="C298" s="4" t="n">
        <v>5645.8</v>
      </c>
      <c r="D298" s="4">
        <f>IF(C298="",B298,MIN(B298,C298))</f>
        <v/>
      </c>
      <c r="E298" s="17" t="n"/>
      <c r="F298" s="4" t="n">
        <v>5538</v>
      </c>
    </row>
    <row r="299">
      <c r="A299" s="8" t="inlineStr">
        <is>
          <t>11/2018</t>
        </is>
      </c>
      <c r="B299" s="4" t="n">
        <v>3420</v>
      </c>
      <c r="C299" s="4" t="n">
        <v>5645.8</v>
      </c>
      <c r="D299" s="4">
        <f>IF(C299="",B299,MIN(B299,C299))</f>
        <v/>
      </c>
      <c r="E299" s="17" t="n"/>
      <c r="F299" s="4" t="n">
        <v>5538</v>
      </c>
    </row>
    <row r="300">
      <c r="A300" s="8" t="inlineStr">
        <is>
          <t>12/2018</t>
        </is>
      </c>
      <c r="B300" s="4" t="n">
        <v>3420</v>
      </c>
      <c r="C300" s="4" t="n">
        <v>5645.8</v>
      </c>
      <c r="D300" s="4">
        <f>IF(C300="",B300,MIN(B300,C300))</f>
        <v/>
      </c>
      <c r="E300" s="17" t="n"/>
      <c r="F300" s="4" t="n">
        <v>5538</v>
      </c>
    </row>
    <row r="301">
      <c r="A301" s="8" t="inlineStr">
        <is>
          <t>01/2019</t>
        </is>
      </c>
      <c r="B301" s="4" t="n">
        <v>3500</v>
      </c>
      <c r="C301" s="4" t="n">
        <v>5839.45</v>
      </c>
      <c r="D301" s="4">
        <f>IF(C301="",B301,MIN(B301,C301))</f>
        <v/>
      </c>
      <c r="E301" s="17" t="n"/>
      <c r="F301" s="4" t="n">
        <v>5650</v>
      </c>
    </row>
    <row r="302">
      <c r="A302" s="8" t="inlineStr">
        <is>
          <t>02/2019</t>
        </is>
      </c>
      <c r="B302" s="4" t="n">
        <v>3500</v>
      </c>
      <c r="C302" s="4" t="n">
        <v>5839.45</v>
      </c>
      <c r="D302" s="4">
        <f>IF(C302="",B302,MIN(B302,C302))</f>
        <v/>
      </c>
      <c r="E302" s="17" t="n"/>
      <c r="F302" s="4" t="n">
        <v>5650</v>
      </c>
    </row>
    <row r="303">
      <c r="A303" s="8" t="inlineStr">
        <is>
          <t>03/2019</t>
        </is>
      </c>
      <c r="B303" s="4" t="n">
        <v>3500</v>
      </c>
      <c r="C303" s="4" t="n">
        <v>5839.45</v>
      </c>
      <c r="D303" s="4">
        <f>IF(C303="",B303,MIN(B303,C303))</f>
        <v/>
      </c>
      <c r="E303" s="17" t="n"/>
      <c r="F303" s="4" t="n">
        <v>5650</v>
      </c>
    </row>
    <row r="304">
      <c r="A304" s="8" t="inlineStr">
        <is>
          <t>04/2019</t>
        </is>
      </c>
      <c r="B304" s="4" t="n">
        <v>3500</v>
      </c>
      <c r="C304" s="4" t="n">
        <v>5839.45</v>
      </c>
      <c r="D304" s="4">
        <f>IF(C304="",B304,MIN(B304,C304))</f>
        <v/>
      </c>
      <c r="E304" s="17" t="n"/>
      <c r="F304" s="4" t="n">
        <v>5650</v>
      </c>
    </row>
    <row r="305">
      <c r="A305" s="8" t="inlineStr">
        <is>
          <t>05/2019</t>
        </is>
      </c>
      <c r="B305" s="4" t="n">
        <v>3500</v>
      </c>
      <c r="C305" s="4" t="n">
        <v>5839.45</v>
      </c>
      <c r="D305" s="4">
        <f>IF(C305="",B305,MIN(B305,C305))</f>
        <v/>
      </c>
      <c r="E305" s="17" t="n"/>
      <c r="F305" s="4" t="n">
        <v>5650</v>
      </c>
    </row>
    <row r="306">
      <c r="A306" s="8" t="inlineStr">
        <is>
          <t>06/2019</t>
        </is>
      </c>
      <c r="B306" s="4" t="n">
        <v>3500</v>
      </c>
      <c r="C306" s="4" t="n">
        <v>5839.45</v>
      </c>
      <c r="D306" s="4">
        <f>IF(C306="",B306,MIN(B306,C306))</f>
        <v/>
      </c>
      <c r="E306" s="17" t="n"/>
      <c r="F306" s="4" t="n">
        <v>5650</v>
      </c>
    </row>
    <row r="307">
      <c r="A307" s="8" t="inlineStr">
        <is>
          <t>07/2019</t>
        </is>
      </c>
      <c r="B307" s="4" t="n">
        <v>3500</v>
      </c>
      <c r="C307" s="4" t="n">
        <v>5839.45</v>
      </c>
      <c r="D307" s="4">
        <f>IF(C307="",B307,MIN(B307,C307))</f>
        <v/>
      </c>
      <c r="E307" s="17" t="n"/>
      <c r="F307" s="4" t="n">
        <v>5650</v>
      </c>
    </row>
    <row r="308">
      <c r="A308" s="8" t="inlineStr">
        <is>
          <t>08/2019</t>
        </is>
      </c>
      <c r="B308" s="4" t="n">
        <v>3500</v>
      </c>
      <c r="C308" s="4" t="n">
        <v>5839.45</v>
      </c>
      <c r="D308" s="4">
        <f>IF(C308="",B308,MIN(B308,C308))</f>
        <v/>
      </c>
      <c r="E308" s="17" t="n"/>
      <c r="F308" s="4" t="n">
        <v>5650</v>
      </c>
    </row>
    <row r="309">
      <c r="A309" s="8" t="inlineStr">
        <is>
          <t>09/2019</t>
        </is>
      </c>
      <c r="B309" s="4" t="n">
        <v>3500</v>
      </c>
      <c r="C309" s="4" t="n">
        <v>5839.45</v>
      </c>
      <c r="D309" s="4">
        <f>IF(C309="",B309,MIN(B309,C309))</f>
        <v/>
      </c>
      <c r="E309" s="17" t="n"/>
      <c r="F309" s="4" t="n">
        <v>5650</v>
      </c>
    </row>
    <row r="310">
      <c r="A310" s="8" t="inlineStr">
        <is>
          <t>10/2019</t>
        </is>
      </c>
      <c r="B310" s="4" t="n">
        <v>3500</v>
      </c>
      <c r="C310" s="4" t="n">
        <v>5839.45</v>
      </c>
      <c r="D310" s="4">
        <f>IF(C310="",B310,MIN(B310,C310))</f>
        <v/>
      </c>
      <c r="E310" s="17" t="n"/>
      <c r="F310" s="4" t="n">
        <v>5650</v>
      </c>
    </row>
    <row r="311">
      <c r="A311" s="8" t="inlineStr">
        <is>
          <t>11/2019</t>
        </is>
      </c>
      <c r="B311" s="4" t="n">
        <v>3500</v>
      </c>
      <c r="C311" s="4" t="n">
        <v>5839.45</v>
      </c>
      <c r="D311" s="4">
        <f>IF(C311="",B311,MIN(B311,C311))</f>
        <v/>
      </c>
      <c r="E311" s="17" t="n"/>
      <c r="F311" s="4" t="n">
        <v>5650</v>
      </c>
    </row>
    <row r="312">
      <c r="A312" s="8" t="inlineStr">
        <is>
          <t>12/2019</t>
        </is>
      </c>
      <c r="B312" s="4" t="n">
        <v>3500</v>
      </c>
      <c r="C312" s="4" t="n">
        <v>5839.45</v>
      </c>
      <c r="D312" s="4">
        <f>IF(C312="",B312,MIN(B312,C312))</f>
        <v/>
      </c>
      <c r="E312" s="17" t="n"/>
      <c r="F312" s="4" t="n">
        <v>5650</v>
      </c>
    </row>
    <row r="313">
      <c r="A313" s="8" t="inlineStr">
        <is>
          <t>01/2020</t>
        </is>
      </c>
      <c r="B313" s="4" t="n">
        <v>3580</v>
      </c>
      <c r="C313" s="4" t="n">
        <v>6101.06</v>
      </c>
      <c r="D313" s="4">
        <f>IF(C313="",B313,MIN(B313,C313))</f>
        <v/>
      </c>
      <c r="E313" s="17" t="n"/>
      <c r="F313" s="4" t="n">
        <v>5762</v>
      </c>
    </row>
    <row r="314">
      <c r="A314" s="8" t="inlineStr">
        <is>
          <t>02/2020</t>
        </is>
      </c>
      <c r="B314" s="4" t="n">
        <v>3580</v>
      </c>
      <c r="C314" s="4" t="n">
        <v>6101.06</v>
      </c>
      <c r="D314" s="4">
        <f>IF(C314="",B314,MIN(B314,C314))</f>
        <v/>
      </c>
      <c r="E314" s="17" t="n"/>
      <c r="F314" s="4" t="n">
        <v>5762</v>
      </c>
    </row>
    <row r="315">
      <c r="A315" s="8" t="inlineStr">
        <is>
          <t>03/2020</t>
        </is>
      </c>
      <c r="B315" s="4" t="n">
        <v>3580</v>
      </c>
      <c r="C315" s="4" t="n">
        <v>6101.06</v>
      </c>
      <c r="D315" s="4">
        <f>IF(C315="",B315,MIN(B315,C315))</f>
        <v/>
      </c>
      <c r="E315" s="17" t="n"/>
      <c r="F315" s="4" t="n">
        <v>5762</v>
      </c>
    </row>
    <row r="316">
      <c r="A316" s="8" t="inlineStr">
        <is>
          <t>04/2020</t>
        </is>
      </c>
      <c r="B316" s="4" t="n">
        <v>3580</v>
      </c>
      <c r="C316" s="4" t="n">
        <v>6101.06</v>
      </c>
      <c r="D316" s="4">
        <f>IF(C316="",B316,MIN(B316,C316))</f>
        <v/>
      </c>
      <c r="E316" s="17" t="n"/>
      <c r="F316" s="4" t="n">
        <v>5762</v>
      </c>
    </row>
    <row r="317">
      <c r="A317" s="8" t="inlineStr">
        <is>
          <t>05/2020</t>
        </is>
      </c>
      <c r="B317" s="4" t="n">
        <v>3580</v>
      </c>
      <c r="C317" s="4" t="n">
        <v>6101.06</v>
      </c>
      <c r="D317" s="4">
        <f>IF(C317="",B317,MIN(B317,C317))</f>
        <v/>
      </c>
      <c r="E317" s="17" t="n"/>
      <c r="F317" s="4" t="n">
        <v>5762</v>
      </c>
    </row>
    <row r="318">
      <c r="A318" s="8" t="inlineStr">
        <is>
          <t>06/2020</t>
        </is>
      </c>
      <c r="B318" s="4" t="n">
        <v>3580</v>
      </c>
      <c r="C318" s="4" t="n">
        <v>6101.06</v>
      </c>
      <c r="D318" s="4">
        <f>IF(C318="",B318,MIN(B318,C318))</f>
        <v/>
      </c>
      <c r="E318" s="17" t="n"/>
      <c r="F318" s="4" t="n">
        <v>5762</v>
      </c>
    </row>
    <row r="319">
      <c r="A319" s="8" t="inlineStr">
        <is>
          <t>07/2020</t>
        </is>
      </c>
      <c r="B319" s="4" t="n">
        <v>3580</v>
      </c>
      <c r="C319" s="4" t="n">
        <v>6101.06</v>
      </c>
      <c r="D319" s="4">
        <f>IF(C319="",B319,MIN(B319,C319))</f>
        <v/>
      </c>
      <c r="E319" s="17" t="n"/>
      <c r="F319" s="4" t="n">
        <v>5762</v>
      </c>
    </row>
    <row r="320">
      <c r="A320" s="8" t="inlineStr">
        <is>
          <t>08/2020</t>
        </is>
      </c>
      <c r="B320" s="4" t="n">
        <v>3580</v>
      </c>
      <c r="C320" s="4" t="n">
        <v>6101.06</v>
      </c>
      <c r="D320" s="4">
        <f>IF(C320="",B320,MIN(B320,C320))</f>
        <v/>
      </c>
      <c r="E320" s="17" t="n"/>
      <c r="F320" s="4" t="n">
        <v>5762</v>
      </c>
    </row>
    <row r="321">
      <c r="A321" s="8" t="inlineStr">
        <is>
          <t>09/2020</t>
        </is>
      </c>
      <c r="B321" s="4" t="n">
        <v>3580</v>
      </c>
      <c r="C321" s="4" t="n">
        <v>6101.06</v>
      </c>
      <c r="D321" s="4">
        <f>IF(C321="",B321,MIN(B321,C321))</f>
        <v/>
      </c>
      <c r="E321" s="17" t="n"/>
      <c r="F321" s="4" t="n">
        <v>5762</v>
      </c>
    </row>
    <row r="322">
      <c r="A322" s="8" t="inlineStr">
        <is>
          <t>10/2020</t>
        </is>
      </c>
      <c r="B322" s="4" t="n">
        <v>3580</v>
      </c>
      <c r="C322" s="4" t="n">
        <v>6101.06</v>
      </c>
      <c r="D322" s="4">
        <f>IF(C322="",B322,MIN(B322,C322))</f>
        <v/>
      </c>
      <c r="E322" s="17" t="n"/>
      <c r="F322" s="4" t="n">
        <v>5762</v>
      </c>
    </row>
    <row r="323">
      <c r="A323" s="8" t="inlineStr">
        <is>
          <t>11/2020</t>
        </is>
      </c>
      <c r="B323" s="4" t="n">
        <v>3580</v>
      </c>
      <c r="C323" s="4" t="n">
        <v>6101.06</v>
      </c>
      <c r="D323" s="4">
        <f>IF(C323="",B323,MIN(B323,C323))</f>
        <v/>
      </c>
      <c r="E323" s="17" t="n"/>
      <c r="F323" s="4" t="n">
        <v>5762</v>
      </c>
    </row>
    <row r="324">
      <c r="A324" s="8" t="inlineStr">
        <is>
          <t>12/2020</t>
        </is>
      </c>
      <c r="B324" s="4" t="n">
        <v>3580</v>
      </c>
      <c r="C324" s="4" t="n">
        <v>6101.06</v>
      </c>
      <c r="D324" s="4">
        <f>IF(C324="",B324,MIN(B324,C324))</f>
        <v/>
      </c>
      <c r="E324" s="17" t="n"/>
      <c r="F324" s="4" t="n">
        <v>5762</v>
      </c>
    </row>
    <row r="326">
      <c r="A326" s="2" t="inlineStr">
        <is>
          <t>Média de 100% dos salários (art. 26 da EC 103/2019):</t>
        </is>
      </c>
      <c r="F326" s="5">
        <f>IFERROR(ROUND(AVERAGE(F8:F324),2),0)</f>
        <v/>
      </c>
    </row>
    <row r="327">
      <c r="A327" s="2" t="inlineStr">
        <is>
          <t>Quantidade de salários:</t>
        </is>
      </c>
      <c r="F327" s="8">
        <f>COUNT(F8:F324)</f>
        <v/>
      </c>
    </row>
    <row r="329">
      <c r="A329" t="inlineStr">
        <is>
          <t>Fatores: índices de correção dos salários de contribuição (INPC; IGP-DI de 05/1996 a 08/2006 pela tabela do Manual CJF). Confira com a carta de concessão.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</cols>
  <sheetData>
    <row r="1">
      <c r="A1" s="1" t="inlineStr">
        <is>
          <t>Competências Sem Salários de Contribuição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7" ht="32" customHeight="1">
      <c r="A7" s="11" t="inlineStr">
        <is>
          <t>Competência</t>
        </is>
      </c>
      <c r="B7" s="11" t="inlineStr">
        <is>
          <t>Empresa</t>
        </is>
      </c>
      <c r="C7" s="11" t="inlineStr">
        <is>
          <t>Data</t>
        </is>
      </c>
    </row>
    <row r="8">
      <c r="A8" s="8" t="inlineStr">
        <is>
          <t>03/1984</t>
        </is>
      </c>
      <c r="B8" s="8" t="inlineStr">
        <is>
          <t>METALURGICA EXEMPLO LTDA</t>
        </is>
      </c>
      <c r="C8" s="8" t="inlineStr">
        <is>
          <t>01/03/1984</t>
        </is>
      </c>
    </row>
    <row r="9">
      <c r="A9" s="8" t="inlineStr">
        <is>
          <t>04/1984</t>
        </is>
      </c>
      <c r="B9" s="8" t="inlineStr">
        <is>
          <t>METALURGICA EXEMPLO LTDA</t>
        </is>
      </c>
      <c r="C9" s="8" t="inlineStr">
        <is>
          <t>01/04/1984</t>
        </is>
      </c>
    </row>
    <row r="10">
      <c r="A10" s="8" t="inlineStr">
        <is>
          <t>05/1984</t>
        </is>
      </c>
      <c r="B10" s="8" t="inlineStr">
        <is>
          <t>METALURGICA EXEMPLO LTDA</t>
        </is>
      </c>
      <c r="C10" s="8" t="inlineStr">
        <is>
          <t>01/05/1984</t>
        </is>
      </c>
    </row>
    <row r="11">
      <c r="A11" s="8" t="inlineStr">
        <is>
          <t>06/1984</t>
        </is>
      </c>
      <c r="B11" s="8" t="inlineStr">
        <is>
          <t>METALURGICA EXEMPLO LTDA</t>
        </is>
      </c>
      <c r="C11" s="8" t="inlineStr">
        <is>
          <t>01/06/1984</t>
        </is>
      </c>
    </row>
    <row r="12">
      <c r="A12" s="8" t="inlineStr">
        <is>
          <t>07/1984</t>
        </is>
      </c>
      <c r="B12" s="8" t="inlineStr">
        <is>
          <t>METALURGICA EXEMPLO LTDA</t>
        </is>
      </c>
      <c r="C12" s="8" t="inlineStr">
        <is>
          <t>01/07/1984</t>
        </is>
      </c>
    </row>
    <row r="13">
      <c r="A13" s="8" t="inlineStr">
        <is>
          <t>08/1984</t>
        </is>
      </c>
      <c r="B13" s="8" t="inlineStr">
        <is>
          <t>METALURGICA EXEMPLO LTDA</t>
        </is>
      </c>
      <c r="C13" s="8" t="inlineStr">
        <is>
          <t>01/08/1984</t>
        </is>
      </c>
    </row>
    <row r="14">
      <c r="A14" s="8" t="inlineStr">
        <is>
          <t>09/1984</t>
        </is>
      </c>
      <c r="B14" s="8" t="inlineStr">
        <is>
          <t>METALURGICA EXEMPLO LTDA</t>
        </is>
      </c>
      <c r="C14" s="8" t="inlineStr">
        <is>
          <t>01/09/1984</t>
        </is>
      </c>
    </row>
    <row r="15">
      <c r="A15" s="8" t="inlineStr">
        <is>
          <t>10/1984</t>
        </is>
      </c>
      <c r="B15" s="8" t="inlineStr">
        <is>
          <t>METALURGICA EXEMPLO LTDA</t>
        </is>
      </c>
      <c r="C15" s="8" t="inlineStr">
        <is>
          <t>01/10/1984</t>
        </is>
      </c>
    </row>
    <row r="16">
      <c r="A16" s="8" t="inlineStr">
        <is>
          <t>11/1984</t>
        </is>
      </c>
      <c r="B16" s="8" t="inlineStr">
        <is>
          <t>METALURGICA EXEMPLO LTDA</t>
        </is>
      </c>
      <c r="C16" s="8" t="inlineStr">
        <is>
          <t>01/11/1984</t>
        </is>
      </c>
    </row>
    <row r="17">
      <c r="A17" s="8" t="inlineStr">
        <is>
          <t>12/1984</t>
        </is>
      </c>
      <c r="B17" s="8" t="inlineStr">
        <is>
          <t>METALURGICA EXEMPLO LTDA</t>
        </is>
      </c>
      <c r="C17" s="8" t="inlineStr">
        <is>
          <t>01/12/1984</t>
        </is>
      </c>
    </row>
    <row r="18">
      <c r="A18" s="8" t="inlineStr">
        <is>
          <t>01/1985</t>
        </is>
      </c>
      <c r="B18" s="8" t="inlineStr">
        <is>
          <t>METALURGICA EXEMPLO LTDA</t>
        </is>
      </c>
      <c r="C18" s="8" t="inlineStr">
        <is>
          <t>01/01/1985</t>
        </is>
      </c>
    </row>
    <row r="19">
      <c r="A19" s="8" t="inlineStr">
        <is>
          <t>02/1985</t>
        </is>
      </c>
      <c r="B19" s="8" t="inlineStr">
        <is>
          <t>METALURGICA EXEMPLO LTDA</t>
        </is>
      </c>
      <c r="C19" s="8" t="inlineStr">
        <is>
          <t>01/02/1985</t>
        </is>
      </c>
    </row>
    <row r="20">
      <c r="A20" s="8" t="inlineStr">
        <is>
          <t>03/1985</t>
        </is>
      </c>
      <c r="B20" s="8" t="inlineStr">
        <is>
          <t>METALURGICA EXEMPLO LTDA</t>
        </is>
      </c>
      <c r="C20" s="8" t="inlineStr">
        <is>
          <t>01/03/1985</t>
        </is>
      </c>
    </row>
    <row r="21">
      <c r="A21" s="8" t="inlineStr">
        <is>
          <t>04/1985</t>
        </is>
      </c>
      <c r="B21" s="8" t="inlineStr">
        <is>
          <t>METALURGICA EXEMPLO LTDA</t>
        </is>
      </c>
      <c r="C21" s="8" t="inlineStr">
        <is>
          <t>01/04/1985</t>
        </is>
      </c>
    </row>
    <row r="22">
      <c r="A22" s="8" t="inlineStr">
        <is>
          <t>05/1985</t>
        </is>
      </c>
      <c r="B22" s="8" t="inlineStr">
        <is>
          <t>METALURGICA EXEMPLO LTDA</t>
        </is>
      </c>
      <c r="C22" s="8" t="inlineStr">
        <is>
          <t>01/05/1985</t>
        </is>
      </c>
    </row>
    <row r="23">
      <c r="A23" s="8" t="inlineStr">
        <is>
          <t>06/1985</t>
        </is>
      </c>
      <c r="B23" s="8" t="inlineStr">
        <is>
          <t>METALURGICA EXEMPLO LTDA</t>
        </is>
      </c>
      <c r="C23" s="8" t="inlineStr">
        <is>
          <t>01/06/1985</t>
        </is>
      </c>
    </row>
    <row r="24">
      <c r="A24" s="8" t="inlineStr">
        <is>
          <t>07/1985</t>
        </is>
      </c>
      <c r="B24" s="8" t="inlineStr">
        <is>
          <t>METALURGICA EXEMPLO LTDA</t>
        </is>
      </c>
      <c r="C24" s="8" t="inlineStr">
        <is>
          <t>01/07/1985</t>
        </is>
      </c>
    </row>
    <row r="25">
      <c r="A25" s="8" t="inlineStr">
        <is>
          <t>08/1985</t>
        </is>
      </c>
      <c r="B25" s="8" t="inlineStr">
        <is>
          <t>METALURGICA EXEMPLO LTDA</t>
        </is>
      </c>
      <c r="C25" s="8" t="inlineStr">
        <is>
          <t>01/08/1985</t>
        </is>
      </c>
    </row>
    <row r="26">
      <c r="A26" s="8" t="inlineStr">
        <is>
          <t>09/1985</t>
        </is>
      </c>
      <c r="B26" s="8" t="inlineStr">
        <is>
          <t>METALURGICA EXEMPLO LTDA</t>
        </is>
      </c>
      <c r="C26" s="8" t="inlineStr">
        <is>
          <t>01/09/1985</t>
        </is>
      </c>
    </row>
    <row r="27">
      <c r="A27" s="8" t="inlineStr">
        <is>
          <t>10/1985</t>
        </is>
      </c>
      <c r="B27" s="8" t="inlineStr">
        <is>
          <t>METALURGICA EXEMPLO LTDA</t>
        </is>
      </c>
      <c r="C27" s="8" t="inlineStr">
        <is>
          <t>01/10/1985</t>
        </is>
      </c>
    </row>
    <row r="28">
      <c r="A28" s="8" t="inlineStr">
        <is>
          <t>11/1985</t>
        </is>
      </c>
      <c r="B28" s="8" t="inlineStr">
        <is>
          <t>METALURGICA EXEMPLO LTDA</t>
        </is>
      </c>
      <c r="C28" s="8" t="inlineStr">
        <is>
          <t>01/11/1985</t>
        </is>
      </c>
    </row>
    <row r="29">
      <c r="A29" s="8" t="inlineStr">
        <is>
          <t>12/1985</t>
        </is>
      </c>
      <c r="B29" s="8" t="inlineStr">
        <is>
          <t>METALURGICA EXEMPLO LTDA</t>
        </is>
      </c>
      <c r="C29" s="8" t="inlineStr">
        <is>
          <t>01/12/1985</t>
        </is>
      </c>
    </row>
    <row r="30">
      <c r="A30" s="8" t="inlineStr">
        <is>
          <t>01/1986</t>
        </is>
      </c>
      <c r="B30" s="8" t="inlineStr">
        <is>
          <t>METALURGICA EXEMPLO LTDA</t>
        </is>
      </c>
      <c r="C30" s="8" t="inlineStr">
        <is>
          <t>01/01/1986</t>
        </is>
      </c>
    </row>
    <row r="31">
      <c r="A31" s="8" t="inlineStr">
        <is>
          <t>02/1986</t>
        </is>
      </c>
      <c r="B31" s="8" t="inlineStr">
        <is>
          <t>METALURGICA EXEMPLO LTDA</t>
        </is>
      </c>
      <c r="C31" s="8" t="inlineStr">
        <is>
          <t>01/02/1986</t>
        </is>
      </c>
    </row>
    <row r="32">
      <c r="A32" s="8" t="inlineStr">
        <is>
          <t>03/1986</t>
        </is>
      </c>
      <c r="B32" s="8" t="inlineStr">
        <is>
          <t>METALURGICA EXEMPLO LTDA</t>
        </is>
      </c>
      <c r="C32" s="8" t="inlineStr">
        <is>
          <t>01/03/1986</t>
        </is>
      </c>
    </row>
    <row r="33">
      <c r="A33" s="8" t="inlineStr">
        <is>
          <t>04/1986</t>
        </is>
      </c>
      <c r="B33" s="8" t="inlineStr">
        <is>
          <t>METALURGICA EXEMPLO LTDA</t>
        </is>
      </c>
      <c r="C33" s="8" t="inlineStr">
        <is>
          <t>01/04/1986</t>
        </is>
      </c>
    </row>
    <row r="34">
      <c r="A34" s="8" t="inlineStr">
        <is>
          <t>05/1986</t>
        </is>
      </c>
      <c r="B34" s="8" t="inlineStr">
        <is>
          <t>METALURGICA EXEMPLO LTDA</t>
        </is>
      </c>
      <c r="C34" s="8" t="inlineStr">
        <is>
          <t>01/05/1986</t>
        </is>
      </c>
    </row>
    <row r="35">
      <c r="A35" s="8" t="inlineStr">
        <is>
          <t>06/1986</t>
        </is>
      </c>
      <c r="B35" s="8" t="inlineStr">
        <is>
          <t>METALURGICA EXEMPLO LTDA</t>
        </is>
      </c>
      <c r="C35" s="8" t="inlineStr">
        <is>
          <t>01/06/1986</t>
        </is>
      </c>
    </row>
    <row r="36">
      <c r="A36" s="8" t="inlineStr">
        <is>
          <t>07/1986</t>
        </is>
      </c>
      <c r="B36" s="8" t="inlineStr">
        <is>
          <t>METALURGICA EXEMPLO LTDA</t>
        </is>
      </c>
      <c r="C36" s="8" t="inlineStr">
        <is>
          <t>01/07/1986</t>
        </is>
      </c>
    </row>
    <row r="37">
      <c r="A37" s="8" t="inlineStr">
        <is>
          <t>08/1986</t>
        </is>
      </c>
      <c r="B37" s="8" t="inlineStr">
        <is>
          <t>METALURGICA EXEMPLO LTDA</t>
        </is>
      </c>
      <c r="C37" s="8" t="inlineStr">
        <is>
          <t>01/08/1986</t>
        </is>
      </c>
    </row>
    <row r="38">
      <c r="A38" s="8" t="inlineStr">
        <is>
          <t>09/1986</t>
        </is>
      </c>
      <c r="B38" s="8" t="inlineStr">
        <is>
          <t>METALURGICA EXEMPLO LTDA</t>
        </is>
      </c>
      <c r="C38" s="8" t="inlineStr">
        <is>
          <t>01/09/1986</t>
        </is>
      </c>
    </row>
    <row r="39">
      <c r="A39" s="8" t="inlineStr">
        <is>
          <t>10/1986</t>
        </is>
      </c>
      <c r="B39" s="8" t="inlineStr">
        <is>
          <t>METALURGICA EXEMPLO LTDA</t>
        </is>
      </c>
      <c r="C39" s="8" t="inlineStr">
        <is>
          <t>01/10/1986</t>
        </is>
      </c>
    </row>
    <row r="40">
      <c r="A40" s="8" t="inlineStr">
        <is>
          <t>11/1986</t>
        </is>
      </c>
      <c r="B40" s="8" t="inlineStr">
        <is>
          <t>METALURGICA EXEMPLO LTDA</t>
        </is>
      </c>
      <c r="C40" s="8" t="inlineStr">
        <is>
          <t>01/11/1986</t>
        </is>
      </c>
    </row>
    <row r="41">
      <c r="A41" s="8" t="inlineStr">
        <is>
          <t>12/1986</t>
        </is>
      </c>
      <c r="B41" s="8" t="inlineStr">
        <is>
          <t>METALURGICA EXEMPLO LTDA</t>
        </is>
      </c>
      <c r="C41" s="8" t="inlineStr">
        <is>
          <t>01/12/1986</t>
        </is>
      </c>
    </row>
    <row r="42">
      <c r="A42" s="8" t="inlineStr">
        <is>
          <t>01/1987</t>
        </is>
      </c>
      <c r="B42" s="8" t="inlineStr">
        <is>
          <t>METALURGICA EXEMPLO LTDA</t>
        </is>
      </c>
      <c r="C42" s="8" t="inlineStr">
        <is>
          <t>01/01/1987</t>
        </is>
      </c>
    </row>
    <row r="43">
      <c r="A43" s="8" t="inlineStr">
        <is>
          <t>02/1987</t>
        </is>
      </c>
      <c r="B43" s="8" t="inlineStr">
        <is>
          <t>METALURGICA EXEMPLO LTDA</t>
        </is>
      </c>
      <c r="C43" s="8" t="inlineStr">
        <is>
          <t>01/02/1987</t>
        </is>
      </c>
    </row>
    <row r="44">
      <c r="A44" s="8" t="inlineStr">
        <is>
          <t>03/1987</t>
        </is>
      </c>
      <c r="B44" s="8" t="inlineStr">
        <is>
          <t>METALURGICA EXEMPLO LTDA</t>
        </is>
      </c>
      <c r="C44" s="8" t="inlineStr">
        <is>
          <t>01/03/1987</t>
        </is>
      </c>
    </row>
    <row r="45">
      <c r="A45" s="8" t="inlineStr">
        <is>
          <t>04/1987</t>
        </is>
      </c>
      <c r="B45" s="8" t="inlineStr">
        <is>
          <t>METALURGICA EXEMPLO LTDA</t>
        </is>
      </c>
      <c r="C45" s="8" t="inlineStr">
        <is>
          <t>01/04/1987</t>
        </is>
      </c>
    </row>
    <row r="46">
      <c r="A46" s="8" t="inlineStr">
        <is>
          <t>05/1987</t>
        </is>
      </c>
      <c r="B46" s="8" t="inlineStr">
        <is>
          <t>METALURGICA EXEMPLO LTDA</t>
        </is>
      </c>
      <c r="C46" s="8" t="inlineStr">
        <is>
          <t>01/05/1987</t>
        </is>
      </c>
    </row>
    <row r="47">
      <c r="A47" s="8" t="inlineStr">
        <is>
          <t>06/1987</t>
        </is>
      </c>
      <c r="B47" s="8" t="inlineStr">
        <is>
          <t>METALURGICA EXEMPLO LTDA</t>
        </is>
      </c>
      <c r="C47" s="8" t="inlineStr">
        <is>
          <t>01/06/1987</t>
        </is>
      </c>
    </row>
    <row r="48">
      <c r="A48" s="8" t="inlineStr">
        <is>
          <t>07/1987</t>
        </is>
      </c>
      <c r="B48" s="8" t="inlineStr">
        <is>
          <t>METALURGICA EXEMPLO LTDA</t>
        </is>
      </c>
      <c r="C48" s="8" t="inlineStr">
        <is>
          <t>01/07/1987</t>
        </is>
      </c>
    </row>
    <row r="49">
      <c r="A49" s="8" t="inlineStr">
        <is>
          <t>08/1987</t>
        </is>
      </c>
      <c r="B49" s="8" t="inlineStr">
        <is>
          <t>METALURGICA EXEMPLO LTDA</t>
        </is>
      </c>
      <c r="C49" s="8" t="inlineStr">
        <is>
          <t>01/08/1987</t>
        </is>
      </c>
    </row>
    <row r="50">
      <c r="A50" s="8" t="inlineStr">
        <is>
          <t>09/1987</t>
        </is>
      </c>
      <c r="B50" s="8" t="inlineStr">
        <is>
          <t>METALURGICA EXEMPLO LTDA</t>
        </is>
      </c>
      <c r="C50" s="8" t="inlineStr">
        <is>
          <t>01/09/1987</t>
        </is>
      </c>
    </row>
    <row r="51">
      <c r="A51" s="8" t="inlineStr">
        <is>
          <t>10/1987</t>
        </is>
      </c>
      <c r="B51" s="8" t="inlineStr">
        <is>
          <t>METALURGICA EXEMPLO LTDA</t>
        </is>
      </c>
      <c r="C51" s="8" t="inlineStr">
        <is>
          <t>01/10/1987</t>
        </is>
      </c>
    </row>
    <row r="52">
      <c r="A52" s="8" t="inlineStr">
        <is>
          <t>11/1987</t>
        </is>
      </c>
      <c r="B52" s="8" t="inlineStr">
        <is>
          <t>METALURGICA EXEMPLO LTDA</t>
        </is>
      </c>
      <c r="C52" s="8" t="inlineStr">
        <is>
          <t>01/11/1987</t>
        </is>
      </c>
    </row>
    <row r="53">
      <c r="A53" s="8" t="inlineStr">
        <is>
          <t>12/1987</t>
        </is>
      </c>
      <c r="B53" s="8" t="inlineStr">
        <is>
          <t>METALURGICA EXEMPLO LTDA</t>
        </is>
      </c>
      <c r="C53" s="8" t="inlineStr">
        <is>
          <t>01/12/1987</t>
        </is>
      </c>
    </row>
    <row r="54">
      <c r="A54" s="8" t="inlineStr">
        <is>
          <t>01/1988</t>
        </is>
      </c>
      <c r="B54" s="8" t="inlineStr">
        <is>
          <t>METALURGICA EXEMPLO LTDA</t>
        </is>
      </c>
      <c r="C54" s="8" t="inlineStr">
        <is>
          <t>01/01/1988</t>
        </is>
      </c>
    </row>
    <row r="55">
      <c r="A55" s="8" t="inlineStr">
        <is>
          <t>02/1988</t>
        </is>
      </c>
      <c r="B55" s="8" t="inlineStr">
        <is>
          <t>METALURGICA EXEMPLO LTDA</t>
        </is>
      </c>
      <c r="C55" s="8" t="inlineStr">
        <is>
          <t>01/02/1988</t>
        </is>
      </c>
    </row>
    <row r="56">
      <c r="A56" s="8" t="inlineStr">
        <is>
          <t>03/1988</t>
        </is>
      </c>
      <c r="B56" s="8" t="inlineStr">
        <is>
          <t>METALURGICA EXEMPLO LTDA</t>
        </is>
      </c>
      <c r="C56" s="8" t="inlineStr">
        <is>
          <t>01/03/1988</t>
        </is>
      </c>
    </row>
    <row r="57">
      <c r="A57" s="8" t="inlineStr">
        <is>
          <t>04/1988</t>
        </is>
      </c>
      <c r="B57" s="8" t="inlineStr">
        <is>
          <t>METALURGICA EXEMPLO LTDA</t>
        </is>
      </c>
      <c r="C57" s="8" t="inlineStr">
        <is>
          <t>01/04/1988</t>
        </is>
      </c>
    </row>
    <row r="58">
      <c r="A58" s="8" t="inlineStr">
        <is>
          <t>05/1988</t>
        </is>
      </c>
      <c r="B58" s="8" t="inlineStr">
        <is>
          <t>METALURGICA EXEMPLO LTDA</t>
        </is>
      </c>
      <c r="C58" s="8" t="inlineStr">
        <is>
          <t>01/05/1988</t>
        </is>
      </c>
    </row>
    <row r="59">
      <c r="A59" s="8" t="inlineStr">
        <is>
          <t>06/1988</t>
        </is>
      </c>
      <c r="B59" s="8" t="inlineStr">
        <is>
          <t>METALURGICA EXEMPLO LTDA</t>
        </is>
      </c>
      <c r="C59" s="8" t="inlineStr">
        <is>
          <t>01/06/1988</t>
        </is>
      </c>
    </row>
    <row r="60">
      <c r="A60" s="8" t="inlineStr">
        <is>
          <t>07/1988</t>
        </is>
      </c>
      <c r="B60" s="8" t="inlineStr">
        <is>
          <t>METALURGICA EXEMPLO LTDA</t>
        </is>
      </c>
      <c r="C60" s="8" t="inlineStr">
        <is>
          <t>01/07/1988</t>
        </is>
      </c>
    </row>
    <row r="61">
      <c r="A61" s="8" t="inlineStr">
        <is>
          <t>08/1988</t>
        </is>
      </c>
      <c r="B61" s="8" t="inlineStr">
        <is>
          <t>METALURGICA EXEMPLO LTDA</t>
        </is>
      </c>
      <c r="C61" s="8" t="inlineStr">
        <is>
          <t>01/08/1988</t>
        </is>
      </c>
    </row>
    <row r="62">
      <c r="A62" s="8" t="inlineStr">
        <is>
          <t>09/1988</t>
        </is>
      </c>
      <c r="B62" s="8" t="inlineStr">
        <is>
          <t>METALURGICA EXEMPLO LTDA</t>
        </is>
      </c>
      <c r="C62" s="8" t="inlineStr">
        <is>
          <t>01/09/1988</t>
        </is>
      </c>
    </row>
    <row r="63">
      <c r="A63" s="8" t="inlineStr">
        <is>
          <t>10/1988</t>
        </is>
      </c>
      <c r="B63" s="8" t="inlineStr">
        <is>
          <t>METALURGICA EXEMPLO LTDA</t>
        </is>
      </c>
      <c r="C63" s="8" t="inlineStr">
        <is>
          <t>01/10/1988</t>
        </is>
      </c>
    </row>
    <row r="64">
      <c r="A64" s="8" t="inlineStr">
        <is>
          <t>11/1988</t>
        </is>
      </c>
      <c r="B64" s="8" t="inlineStr">
        <is>
          <t>METALURGICA EXEMPLO LTDA</t>
        </is>
      </c>
      <c r="C64" s="8" t="inlineStr">
        <is>
          <t>01/11/1988</t>
        </is>
      </c>
    </row>
    <row r="65">
      <c r="A65" s="8" t="inlineStr">
        <is>
          <t>12/1988</t>
        </is>
      </c>
      <c r="B65" s="8" t="inlineStr">
        <is>
          <t>METALURGICA EXEMPLO LTDA</t>
        </is>
      </c>
      <c r="C65" s="8" t="inlineStr">
        <is>
          <t>01/12/1988</t>
        </is>
      </c>
    </row>
    <row r="66">
      <c r="A66" s="8" t="inlineStr">
        <is>
          <t>01/1989</t>
        </is>
      </c>
      <c r="B66" s="8" t="inlineStr">
        <is>
          <t>METALURGICA EXEMPLO LTDA</t>
        </is>
      </c>
      <c r="C66" s="8" t="inlineStr">
        <is>
          <t>01/01/1989</t>
        </is>
      </c>
    </row>
    <row r="67">
      <c r="A67" s="8" t="inlineStr">
        <is>
          <t>02/1989</t>
        </is>
      </c>
      <c r="B67" s="8" t="inlineStr">
        <is>
          <t>METALURGICA EXEMPLO LTDA</t>
        </is>
      </c>
      <c r="C67" s="8" t="inlineStr">
        <is>
          <t>01/02/1989</t>
        </is>
      </c>
    </row>
    <row r="68">
      <c r="A68" s="8" t="inlineStr">
        <is>
          <t>03/1989</t>
        </is>
      </c>
      <c r="B68" s="8" t="inlineStr">
        <is>
          <t>METALURGICA EXEMPLO LTDA</t>
        </is>
      </c>
      <c r="C68" s="8" t="inlineStr">
        <is>
          <t>01/03/1989</t>
        </is>
      </c>
    </row>
    <row r="69">
      <c r="A69" s="8" t="inlineStr">
        <is>
          <t>04/1989</t>
        </is>
      </c>
      <c r="B69" s="8" t="inlineStr">
        <is>
          <t>METALURGICA EXEMPLO LTDA</t>
        </is>
      </c>
      <c r="C69" s="8" t="inlineStr">
        <is>
          <t>01/04/1989</t>
        </is>
      </c>
    </row>
    <row r="70">
      <c r="A70" s="8" t="inlineStr">
        <is>
          <t>05/1989</t>
        </is>
      </c>
      <c r="B70" s="8" t="inlineStr">
        <is>
          <t>METALURGICA EXEMPLO LTDA</t>
        </is>
      </c>
      <c r="C70" s="8" t="inlineStr">
        <is>
          <t>01/05/1989</t>
        </is>
      </c>
    </row>
    <row r="71">
      <c r="A71" s="8" t="inlineStr">
        <is>
          <t>06/1989</t>
        </is>
      </c>
      <c r="B71" s="8" t="inlineStr">
        <is>
          <t>METALURGICA EXEMPLO LTDA</t>
        </is>
      </c>
      <c r="C71" s="8" t="inlineStr">
        <is>
          <t>01/06/1989</t>
        </is>
      </c>
    </row>
    <row r="72">
      <c r="A72" s="8" t="inlineStr">
        <is>
          <t>07/1989</t>
        </is>
      </c>
      <c r="B72" s="8" t="inlineStr">
        <is>
          <t>METALURGICA EXEMPLO LTDA</t>
        </is>
      </c>
      <c r="C72" s="8" t="inlineStr">
        <is>
          <t>01/07/1989</t>
        </is>
      </c>
    </row>
    <row r="73">
      <c r="A73" s="8" t="inlineStr">
        <is>
          <t>08/1989</t>
        </is>
      </c>
      <c r="B73" s="8" t="inlineStr">
        <is>
          <t>METALURGICA EXEMPLO LTDA</t>
        </is>
      </c>
      <c r="C73" s="8" t="inlineStr">
        <is>
          <t>01/08/1989</t>
        </is>
      </c>
    </row>
    <row r="74">
      <c r="A74" s="8" t="inlineStr">
        <is>
          <t>09/1989</t>
        </is>
      </c>
      <c r="B74" s="8" t="inlineStr">
        <is>
          <t>METALURGICA EXEMPLO LTDA</t>
        </is>
      </c>
      <c r="C74" s="8" t="inlineStr">
        <is>
          <t>01/09/1989</t>
        </is>
      </c>
    </row>
    <row r="75">
      <c r="A75" s="8" t="inlineStr">
        <is>
          <t>10/1989</t>
        </is>
      </c>
      <c r="B75" s="8" t="inlineStr">
        <is>
          <t>METALURGICA EXEMPLO LTDA</t>
        </is>
      </c>
      <c r="C75" s="8" t="inlineStr">
        <is>
          <t>01/10/1989</t>
        </is>
      </c>
    </row>
    <row r="76">
      <c r="A76" s="8" t="inlineStr">
        <is>
          <t>11/1989</t>
        </is>
      </c>
      <c r="B76" s="8" t="inlineStr">
        <is>
          <t>METALURGICA EXEMPLO LTDA</t>
        </is>
      </c>
      <c r="C76" s="8" t="inlineStr">
        <is>
          <t>01/11/1989</t>
        </is>
      </c>
    </row>
    <row r="77">
      <c r="A77" s="8" t="inlineStr">
        <is>
          <t>12/1989</t>
        </is>
      </c>
      <c r="B77" s="8" t="inlineStr">
        <is>
          <t>METALURGICA EXEMPLO LTDA</t>
        </is>
      </c>
      <c r="C77" s="8" t="inlineStr">
        <is>
          <t>01/12/1989</t>
        </is>
      </c>
    </row>
    <row r="78">
      <c r="A78" s="8" t="inlineStr">
        <is>
          <t>01/1990</t>
        </is>
      </c>
      <c r="B78" s="8" t="inlineStr">
        <is>
          <t>METALURGICA EXEMPLO LTDA</t>
        </is>
      </c>
      <c r="C78" s="8" t="inlineStr">
        <is>
          <t>01/01/1990</t>
        </is>
      </c>
    </row>
    <row r="79">
      <c r="A79" s="8" t="inlineStr">
        <is>
          <t>02/1990</t>
        </is>
      </c>
      <c r="B79" s="8" t="inlineStr">
        <is>
          <t>METALURGICA EXEMPLO LTDA</t>
        </is>
      </c>
      <c r="C79" s="8" t="inlineStr">
        <is>
          <t>01/02/1990</t>
        </is>
      </c>
    </row>
    <row r="80">
      <c r="A80" s="8" t="inlineStr">
        <is>
          <t>03/1990</t>
        </is>
      </c>
      <c r="B80" s="8" t="inlineStr">
        <is>
          <t>METALURGICA EXEMPLO LTDA</t>
        </is>
      </c>
      <c r="C80" s="8" t="inlineStr">
        <is>
          <t>01/03/1990</t>
        </is>
      </c>
    </row>
    <row r="81">
      <c r="A81" s="8" t="inlineStr">
        <is>
          <t>04/1990</t>
        </is>
      </c>
      <c r="B81" s="8" t="inlineStr">
        <is>
          <t>METALURGICA EXEMPLO LTDA</t>
        </is>
      </c>
      <c r="C81" s="8" t="inlineStr">
        <is>
          <t>01/04/1990</t>
        </is>
      </c>
    </row>
    <row r="82">
      <c r="A82" s="8" t="inlineStr">
        <is>
          <t>05/1990</t>
        </is>
      </c>
      <c r="B82" s="8" t="inlineStr">
        <is>
          <t>METALURGICA EXEMPLO LTDA</t>
        </is>
      </c>
      <c r="C82" s="8" t="inlineStr">
        <is>
          <t>01/05/1990</t>
        </is>
      </c>
    </row>
    <row r="83">
      <c r="A83" s="8" t="inlineStr">
        <is>
          <t>06/1990</t>
        </is>
      </c>
      <c r="B83" s="8" t="inlineStr">
        <is>
          <t>METALURGICA EXEMPLO LTDA</t>
        </is>
      </c>
      <c r="C83" s="8" t="inlineStr">
        <is>
          <t>01/06/1990</t>
        </is>
      </c>
    </row>
    <row r="84">
      <c r="A84" s="8" t="inlineStr">
        <is>
          <t>07/1990</t>
        </is>
      </c>
      <c r="B84" s="8" t="inlineStr">
        <is>
          <t>METALURGICA EXEMPLO LTDA</t>
        </is>
      </c>
      <c r="C84" s="8" t="inlineStr">
        <is>
          <t>01/07/1990</t>
        </is>
      </c>
    </row>
    <row r="85">
      <c r="A85" s="8" t="inlineStr">
        <is>
          <t>08/1990</t>
        </is>
      </c>
      <c r="B85" s="8" t="inlineStr">
        <is>
          <t>METALURGICA EXEMPLO LTDA</t>
        </is>
      </c>
      <c r="C85" s="8" t="inlineStr">
        <is>
          <t>01/08/1990</t>
        </is>
      </c>
    </row>
    <row r="86">
      <c r="A86" s="8" t="inlineStr">
        <is>
          <t>09/1990</t>
        </is>
      </c>
      <c r="B86" s="8" t="inlineStr">
        <is>
          <t>METALURGICA EXEMPLO LTDA</t>
        </is>
      </c>
      <c r="C86" s="8" t="inlineStr">
        <is>
          <t>01/09/1990</t>
        </is>
      </c>
    </row>
    <row r="87">
      <c r="A87" s="8" t="inlineStr">
        <is>
          <t>10/1990</t>
        </is>
      </c>
      <c r="B87" s="8" t="inlineStr">
        <is>
          <t>METALURGICA EXEMPLO LTDA</t>
        </is>
      </c>
      <c r="C87" s="8" t="inlineStr">
        <is>
          <t>01/10/1990</t>
        </is>
      </c>
    </row>
    <row r="88">
      <c r="A88" s="8" t="inlineStr">
        <is>
          <t>11/1990</t>
        </is>
      </c>
      <c r="B88" s="8" t="inlineStr">
        <is>
          <t>METALURGICA EXEMPLO LTDA</t>
        </is>
      </c>
      <c r="C88" s="8" t="inlineStr">
        <is>
          <t>01/11/1990</t>
        </is>
      </c>
    </row>
    <row r="89">
      <c r="A89" s="8" t="inlineStr">
        <is>
          <t>12/1990</t>
        </is>
      </c>
      <c r="B89" s="8" t="inlineStr">
        <is>
          <t>METALURGICA EXEMPLO LTDA</t>
        </is>
      </c>
      <c r="C89" s="8" t="inlineStr">
        <is>
          <t>01/12/1990</t>
        </is>
      </c>
    </row>
    <row r="90">
      <c r="A90" s="8" t="inlineStr">
        <is>
          <t>01/1991</t>
        </is>
      </c>
      <c r="B90" s="8" t="inlineStr">
        <is>
          <t>METALURGICA EXEMPLO LTDA</t>
        </is>
      </c>
      <c r="C90" s="8" t="inlineStr">
        <is>
          <t>01/01/1991</t>
        </is>
      </c>
    </row>
    <row r="91">
      <c r="A91" s="8" t="inlineStr">
        <is>
          <t>02/1991</t>
        </is>
      </c>
      <c r="B91" s="8" t="inlineStr">
        <is>
          <t>METALURGICA EXEMPLO LTDA</t>
        </is>
      </c>
      <c r="C91" s="8" t="inlineStr">
        <is>
          <t>01/02/1991</t>
        </is>
      </c>
    </row>
    <row r="92">
      <c r="A92" s="8" t="inlineStr">
        <is>
          <t>03/1991</t>
        </is>
      </c>
      <c r="B92" s="8" t="inlineStr">
        <is>
          <t>METALURGICA EXEMPLO LTDA</t>
        </is>
      </c>
      <c r="C92" s="8" t="inlineStr">
        <is>
          <t>01/03/1991</t>
        </is>
      </c>
    </row>
    <row r="93">
      <c r="A93" s="8" t="inlineStr">
        <is>
          <t>04/1991</t>
        </is>
      </c>
      <c r="B93" s="8" t="inlineStr">
        <is>
          <t>METALURGICA EXEMPLO LTDA</t>
        </is>
      </c>
      <c r="C93" s="8" t="inlineStr">
        <is>
          <t>01/04/1991</t>
        </is>
      </c>
    </row>
    <row r="94">
      <c r="A94" s="8" t="inlineStr">
        <is>
          <t>05/1991</t>
        </is>
      </c>
      <c r="B94" s="8" t="inlineStr">
        <is>
          <t>METALURGICA EXEMPLO LTDA</t>
        </is>
      </c>
      <c r="C94" s="8" t="inlineStr">
        <is>
          <t>01/05/1991</t>
        </is>
      </c>
    </row>
    <row r="95">
      <c r="A95" s="8" t="inlineStr">
        <is>
          <t>06/1991</t>
        </is>
      </c>
      <c r="B95" s="8" t="inlineStr">
        <is>
          <t>METALURGICA EXEMPLO LTDA</t>
        </is>
      </c>
      <c r="C95" s="8" t="inlineStr">
        <is>
          <t>01/06/1991</t>
        </is>
      </c>
    </row>
    <row r="96">
      <c r="A96" s="8" t="inlineStr">
        <is>
          <t>07/1991</t>
        </is>
      </c>
      <c r="B96" s="8" t="inlineStr">
        <is>
          <t>METALURGICA EXEMPLO LTDA</t>
        </is>
      </c>
      <c r="C96" s="8" t="inlineStr">
        <is>
          <t>01/07/1991</t>
        </is>
      </c>
    </row>
    <row r="97">
      <c r="A97" s="8" t="inlineStr">
        <is>
          <t>08/1991</t>
        </is>
      </c>
      <c r="B97" s="8" t="inlineStr">
        <is>
          <t>METALURGICA EXEMPLO LTDA</t>
        </is>
      </c>
      <c r="C97" s="8" t="inlineStr">
        <is>
          <t>01/08/1991</t>
        </is>
      </c>
    </row>
    <row r="98">
      <c r="A98" s="8" t="inlineStr">
        <is>
          <t>09/1991</t>
        </is>
      </c>
      <c r="B98" s="8" t="inlineStr">
        <is>
          <t>METALURGICA EXEMPLO LTDA</t>
        </is>
      </c>
      <c r="C98" s="8" t="inlineStr">
        <is>
          <t>01/09/1991</t>
        </is>
      </c>
    </row>
    <row r="99">
      <c r="A99" s="8" t="inlineStr">
        <is>
          <t>10/1991</t>
        </is>
      </c>
      <c r="B99" s="8" t="inlineStr">
        <is>
          <t>METALURGICA EXEMPLO LTDA</t>
        </is>
      </c>
      <c r="C99" s="8" t="inlineStr">
        <is>
          <t>01/10/1991</t>
        </is>
      </c>
    </row>
    <row r="100">
      <c r="A100" s="8" t="inlineStr">
        <is>
          <t>11/1991</t>
        </is>
      </c>
      <c r="B100" s="8" t="inlineStr">
        <is>
          <t>METALURGICA EXEMPLO LTDA</t>
        </is>
      </c>
      <c r="C100" s="8" t="inlineStr">
        <is>
          <t>01/11/1991</t>
        </is>
      </c>
    </row>
    <row r="101">
      <c r="A101" s="8" t="inlineStr">
        <is>
          <t>12/1991</t>
        </is>
      </c>
      <c r="B101" s="8" t="inlineStr">
        <is>
          <t>METALURGICA EXEMPLO LTDA</t>
        </is>
      </c>
      <c r="C101" s="8" t="inlineStr">
        <is>
          <t>01/12/1991</t>
        </is>
      </c>
    </row>
    <row r="102">
      <c r="A102" s="8" t="inlineStr">
        <is>
          <t>01/1992</t>
        </is>
      </c>
      <c r="B102" s="8" t="inlineStr">
        <is>
          <t>METALURGICA EXEMPLO LTDA</t>
        </is>
      </c>
      <c r="C102" s="8" t="inlineStr">
        <is>
          <t>01/01/1992</t>
        </is>
      </c>
    </row>
    <row r="103">
      <c r="A103" s="8" t="inlineStr">
        <is>
          <t>02/1992</t>
        </is>
      </c>
      <c r="B103" s="8" t="inlineStr">
        <is>
          <t>METALURGICA EXEMPLO LTDA</t>
        </is>
      </c>
      <c r="C103" s="8" t="inlineStr">
        <is>
          <t>01/02/1992</t>
        </is>
      </c>
    </row>
    <row r="104">
      <c r="A104" s="8" t="inlineStr">
        <is>
          <t>03/1992</t>
        </is>
      </c>
      <c r="B104" s="8" t="inlineStr">
        <is>
          <t>METALURGICA EXEMPLO LTDA</t>
        </is>
      </c>
      <c r="C104" s="8" t="inlineStr">
        <is>
          <t>01/03/1992</t>
        </is>
      </c>
    </row>
    <row r="105">
      <c r="A105" s="8" t="inlineStr">
        <is>
          <t>04/1992</t>
        </is>
      </c>
      <c r="B105" s="8" t="inlineStr">
        <is>
          <t>METALURGICA EXEMPLO LTDA</t>
        </is>
      </c>
      <c r="C105" s="8" t="inlineStr">
        <is>
          <t>01/04/1992</t>
        </is>
      </c>
    </row>
    <row r="106">
      <c r="A106" s="8" t="inlineStr">
        <is>
          <t>05/1992</t>
        </is>
      </c>
      <c r="B106" s="8" t="inlineStr">
        <is>
          <t>METALURGICA EXEMPLO LTDA</t>
        </is>
      </c>
      <c r="C106" s="8" t="inlineStr">
        <is>
          <t>01/05/1992</t>
        </is>
      </c>
    </row>
    <row r="107">
      <c r="A107" s="8" t="inlineStr">
        <is>
          <t>06/1992</t>
        </is>
      </c>
      <c r="B107" s="8" t="inlineStr">
        <is>
          <t>METALURGICA EXEMPLO LTDA</t>
        </is>
      </c>
      <c r="C107" s="8" t="inlineStr">
        <is>
          <t>01/06/1992</t>
        </is>
      </c>
    </row>
    <row r="108">
      <c r="A108" s="8" t="inlineStr">
        <is>
          <t>07/1992</t>
        </is>
      </c>
      <c r="B108" s="8" t="inlineStr">
        <is>
          <t>METALURGICA EXEMPLO LTDA</t>
        </is>
      </c>
      <c r="C108" s="8" t="inlineStr">
        <is>
          <t>01/07/1992</t>
        </is>
      </c>
    </row>
    <row r="109">
      <c r="A109" s="8" t="inlineStr">
        <is>
          <t>08/1992</t>
        </is>
      </c>
      <c r="B109" s="8" t="inlineStr">
        <is>
          <t>METALURGICA EXEMPLO LTDA</t>
        </is>
      </c>
      <c r="C109" s="8" t="inlineStr">
        <is>
          <t>01/08/1992</t>
        </is>
      </c>
    </row>
    <row r="110">
      <c r="A110" s="8" t="inlineStr">
        <is>
          <t>09/1992</t>
        </is>
      </c>
      <c r="B110" s="8" t="inlineStr">
        <is>
          <t>METALURGICA EXEMPLO LTDA</t>
        </is>
      </c>
      <c r="C110" s="8" t="inlineStr">
        <is>
          <t>01/09/1992</t>
        </is>
      </c>
    </row>
    <row r="111">
      <c r="A111" s="8" t="inlineStr">
        <is>
          <t>10/1992</t>
        </is>
      </c>
      <c r="B111" s="8" t="inlineStr">
        <is>
          <t>METALURGICA EXEMPLO LTDA</t>
        </is>
      </c>
      <c r="C111" s="8" t="inlineStr">
        <is>
          <t>01/10/1992</t>
        </is>
      </c>
    </row>
    <row r="112">
      <c r="A112" s="8" t="inlineStr">
        <is>
          <t>11/1992</t>
        </is>
      </c>
      <c r="B112" s="8" t="inlineStr">
        <is>
          <t>METALURGICA EXEMPLO LTDA</t>
        </is>
      </c>
      <c r="C112" s="8" t="inlineStr">
        <is>
          <t>01/11/1992</t>
        </is>
      </c>
    </row>
    <row r="113">
      <c r="A113" s="8" t="inlineStr">
        <is>
          <t>12/1992</t>
        </is>
      </c>
      <c r="B113" s="8" t="inlineStr">
        <is>
          <t>METALURGICA EXEMPLO LTDA</t>
        </is>
      </c>
      <c r="C113" s="8" t="inlineStr">
        <is>
          <t>01/12/1992</t>
        </is>
      </c>
    </row>
    <row r="114">
      <c r="A114" s="8" t="inlineStr">
        <is>
          <t>01/1993</t>
        </is>
      </c>
      <c r="B114" s="8" t="inlineStr">
        <is>
          <t>METALURGICA EXEMPLO LTDA</t>
        </is>
      </c>
      <c r="C114" s="8" t="inlineStr">
        <is>
          <t>01/01/1993</t>
        </is>
      </c>
    </row>
    <row r="115">
      <c r="A115" s="8" t="inlineStr">
        <is>
          <t>02/1993</t>
        </is>
      </c>
      <c r="B115" s="8" t="inlineStr">
        <is>
          <t>METALURGICA EXEMPLO LTDA</t>
        </is>
      </c>
      <c r="C115" s="8" t="inlineStr">
        <is>
          <t>01/02/1993</t>
        </is>
      </c>
    </row>
    <row r="116">
      <c r="A116" s="8" t="inlineStr">
        <is>
          <t>03/1993</t>
        </is>
      </c>
      <c r="B116" s="8" t="inlineStr">
        <is>
          <t>METALURGICA EXEMPLO LTDA</t>
        </is>
      </c>
      <c r="C116" s="8" t="inlineStr">
        <is>
          <t>01/03/1993</t>
        </is>
      </c>
    </row>
    <row r="117">
      <c r="A117" s="8" t="inlineStr">
        <is>
          <t>04/1993</t>
        </is>
      </c>
      <c r="B117" s="8" t="inlineStr">
        <is>
          <t>METALURGICA EXEMPLO LTDA</t>
        </is>
      </c>
      <c r="C117" s="8" t="inlineStr">
        <is>
          <t>01/04/1993</t>
        </is>
      </c>
    </row>
    <row r="118">
      <c r="A118" s="8" t="inlineStr">
        <is>
          <t>05/1993</t>
        </is>
      </c>
      <c r="B118" s="8" t="inlineStr">
        <is>
          <t>METALURGICA EXEMPLO LTDA</t>
        </is>
      </c>
      <c r="C118" s="8" t="inlineStr">
        <is>
          <t>01/05/1993</t>
        </is>
      </c>
    </row>
    <row r="119">
      <c r="A119" s="8" t="inlineStr">
        <is>
          <t>06/1993</t>
        </is>
      </c>
      <c r="B119" s="8" t="inlineStr">
        <is>
          <t>METALURGICA EXEMPLO LTDA</t>
        </is>
      </c>
      <c r="C119" s="8" t="inlineStr">
        <is>
          <t>01/06/1993</t>
        </is>
      </c>
    </row>
    <row r="120">
      <c r="A120" s="8" t="inlineStr">
        <is>
          <t>07/1993</t>
        </is>
      </c>
      <c r="B120" s="8" t="inlineStr">
        <is>
          <t>METALURGICA EXEMPLO LTDA</t>
        </is>
      </c>
      <c r="C120" s="8" t="inlineStr">
        <is>
          <t>01/07/1993</t>
        </is>
      </c>
    </row>
    <row r="121">
      <c r="A121" s="8" t="inlineStr">
        <is>
          <t>08/1993</t>
        </is>
      </c>
      <c r="B121" s="8" t="inlineStr">
        <is>
          <t>METALURGICA EXEMPLO LTDA</t>
        </is>
      </c>
      <c r="C121" s="8" t="inlineStr">
        <is>
          <t>01/08/1993</t>
        </is>
      </c>
    </row>
    <row r="122">
      <c r="A122" s="8" t="inlineStr">
        <is>
          <t>09/1993</t>
        </is>
      </c>
      <c r="B122" s="8" t="inlineStr">
        <is>
          <t>METALURGICA EXEMPLO LTDA</t>
        </is>
      </c>
      <c r="C122" s="8" t="inlineStr">
        <is>
          <t>01/09/1993</t>
        </is>
      </c>
    </row>
    <row r="123">
      <c r="A123" s="8" t="inlineStr">
        <is>
          <t>10/1993</t>
        </is>
      </c>
      <c r="B123" s="8" t="inlineStr">
        <is>
          <t>METALURGICA EXEMPLO LTDA</t>
        </is>
      </c>
      <c r="C123" s="8" t="inlineStr">
        <is>
          <t>01/10/1993</t>
        </is>
      </c>
    </row>
    <row r="124">
      <c r="A124" s="8" t="inlineStr">
        <is>
          <t>11/1993</t>
        </is>
      </c>
      <c r="B124" s="8" t="inlineStr">
        <is>
          <t>METALURGICA EXEMPLO LTDA</t>
        </is>
      </c>
      <c r="C124" s="8" t="inlineStr">
        <is>
          <t>01/11/1993</t>
        </is>
      </c>
    </row>
    <row r="125">
      <c r="A125" s="8" t="inlineStr">
        <is>
          <t>12/1993</t>
        </is>
      </c>
      <c r="B125" s="8" t="inlineStr">
        <is>
          <t>METALURGICA EXEMPLO LTDA</t>
        </is>
      </c>
      <c r="C125" s="8" t="inlineStr">
        <is>
          <t>01/12/1993</t>
        </is>
      </c>
    </row>
    <row r="126">
      <c r="A126" s="8" t="inlineStr">
        <is>
          <t>01/1994</t>
        </is>
      </c>
      <c r="B126" s="8" t="inlineStr">
        <is>
          <t>METALURGICA EXEMPLO LTDA</t>
        </is>
      </c>
      <c r="C126" s="8" t="inlineStr">
        <is>
          <t>01/01/1994</t>
        </is>
      </c>
    </row>
    <row r="127">
      <c r="A127" s="8" t="inlineStr">
        <is>
          <t>02/1994</t>
        </is>
      </c>
      <c r="B127" s="8" t="inlineStr">
        <is>
          <t>METALURGICA EXEMPLO LTDA</t>
        </is>
      </c>
      <c r="C127" s="8" t="inlineStr">
        <is>
          <t>01/02/1994</t>
        </is>
      </c>
    </row>
    <row r="128">
      <c r="A128" s="8" t="inlineStr">
        <is>
          <t>03/1994</t>
        </is>
      </c>
      <c r="B128" s="8" t="inlineStr">
        <is>
          <t>METALURGICA EXEMPLO LTDA</t>
        </is>
      </c>
      <c r="C128" s="8" t="inlineStr">
        <is>
          <t>01/03/1994</t>
        </is>
      </c>
    </row>
    <row r="129">
      <c r="A129" s="8" t="inlineStr">
        <is>
          <t>04/1994</t>
        </is>
      </c>
      <c r="B129" s="8" t="inlineStr">
        <is>
          <t>METALURGICA EXEMPLO LTDA</t>
        </is>
      </c>
      <c r="C129" s="8" t="inlineStr">
        <is>
          <t>01/04/1994</t>
        </is>
      </c>
    </row>
    <row r="130">
      <c r="A130" s="8" t="inlineStr">
        <is>
          <t>05/1994</t>
        </is>
      </c>
      <c r="B130" s="8" t="inlineStr">
        <is>
          <t>METALURGICA EXEMPLO LTDA</t>
        </is>
      </c>
      <c r="C130" s="8" t="inlineStr">
        <is>
          <t>01/05/1994</t>
        </is>
      </c>
    </row>
    <row r="131">
      <c r="A131" s="8" t="inlineStr">
        <is>
          <t>06/1994</t>
        </is>
      </c>
      <c r="B131" s="8" t="inlineStr">
        <is>
          <t>METALURGICA EXEMPLO LTDA</t>
        </is>
      </c>
      <c r="C131" s="8" t="inlineStr">
        <is>
          <t>01/06/1994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6" customWidth="1" min="4" max="4"/>
    <col width="14" customWidth="1" min="5" max="5"/>
    <col width="17" customWidth="1" min="6" max="6"/>
    <col width="12" customWidth="1" min="7" max="7"/>
    <col width="19" customWidth="1" min="8" max="8"/>
  </cols>
  <sheetData>
    <row r="1">
      <c r="A1" s="1" t="inlineStr">
        <is>
          <t>Relatório da Evolução da R.M.I.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6">
      <c r="A6" s="2" t="inlineStr">
        <is>
          <t>Início do Benefício (DIB):</t>
        </is>
      </c>
      <c r="B6" t="inlineStr">
        <is>
          <t>01/03/2024</t>
        </is>
      </c>
      <c r="D6" s="2" t="inlineStr">
        <is>
          <t>Data da Atualização:</t>
        </is>
      </c>
      <c r="E6" t="inlineStr">
        <is>
          <t>15/09/2026</t>
        </is>
      </c>
    </row>
    <row r="7">
      <c r="A7" s="2" t="inlineStr">
        <is>
          <t>Ajuizamento:</t>
        </is>
      </c>
      <c r="B7" t="inlineStr">
        <is>
          <t>10/06/2024</t>
        </is>
      </c>
      <c r="D7" s="2" t="inlineStr">
        <is>
          <t>Data da Prescrição:</t>
        </is>
      </c>
      <c r="E7" t="inlineStr">
        <is>
          <t>01/03/2024</t>
        </is>
      </c>
    </row>
    <row r="9" ht="32" customHeight="1">
      <c r="A9" s="11" t="inlineStr">
        <is>
          <t>Data</t>
        </is>
      </c>
      <c r="B9" s="11" t="inlineStr">
        <is>
          <t>Valor do Benefício</t>
        </is>
      </c>
      <c r="C9" s="11" t="inlineStr">
        <is>
          <t>Reajuste (%)</t>
        </is>
      </c>
      <c r="D9" s="11" t="inlineStr">
        <is>
          <t>Teto do Benefício</t>
        </is>
      </c>
      <c r="E9" s="11" t="inlineStr">
        <is>
          <t>Salário Mínimo</t>
        </is>
      </c>
      <c r="F9" s="11" t="inlineStr">
        <is>
          <t>Benefício Mensal</t>
        </is>
      </c>
      <c r="G9" s="11" t="inlineStr">
        <is>
          <t>Fração (pró-rata)</t>
        </is>
      </c>
      <c r="H9" s="11" t="inlineStr">
        <is>
          <t>Benefício Considerado</t>
        </is>
      </c>
    </row>
    <row r="10">
      <c r="A10" s="8" t="inlineStr">
        <is>
          <t>03/2024</t>
        </is>
      </c>
      <c r="B10" s="4">
        <f>'Parâmetros'!$B$12</f>
        <v/>
      </c>
      <c r="C10" s="17" t="n"/>
      <c r="D10" s="4" t="n">
        <v>7786.02</v>
      </c>
      <c r="E10" s="4" t="n">
        <v>1412</v>
      </c>
      <c r="F10" s="4">
        <f>MAX(E10,MIN(D10,IF(C10="",B10,TRUNC(B10*(1+C10/100),2))))</f>
        <v/>
      </c>
      <c r="G10" s="18" t="n">
        <v>1</v>
      </c>
      <c r="H10" s="4">
        <f>TRUNC(F10*G10,2)</f>
        <v/>
      </c>
    </row>
    <row r="11">
      <c r="A11" s="8" t="inlineStr">
        <is>
          <t>04/2024</t>
        </is>
      </c>
      <c r="B11" s="4">
        <f>F10</f>
        <v/>
      </c>
      <c r="C11" s="17" t="n"/>
      <c r="D11" s="4" t="n">
        <v>7786.02</v>
      </c>
      <c r="E11" s="4" t="n">
        <v>1412</v>
      </c>
      <c r="F11" s="4">
        <f>MAX(E11,MIN(D11,IF(C11="",B11,TRUNC(B11*(1+C11/100),2))))</f>
        <v/>
      </c>
      <c r="G11" s="18" t="n">
        <v>1</v>
      </c>
      <c r="H11" s="4">
        <f>TRUNC(F11*G11,2)</f>
        <v/>
      </c>
    </row>
    <row r="12">
      <c r="A12" s="8" t="inlineStr">
        <is>
          <t>05/2024</t>
        </is>
      </c>
      <c r="B12" s="4">
        <f>F11</f>
        <v/>
      </c>
      <c r="C12" s="17" t="n"/>
      <c r="D12" s="4" t="n">
        <v>7786.02</v>
      </c>
      <c r="E12" s="4" t="n">
        <v>1412</v>
      </c>
      <c r="F12" s="4">
        <f>MAX(E12,MIN(D12,IF(C12="",B12,TRUNC(B12*(1+C12/100),2))))</f>
        <v/>
      </c>
      <c r="G12" s="18" t="n">
        <v>1</v>
      </c>
      <c r="H12" s="4">
        <f>TRUNC(F12*G12,2)</f>
        <v/>
      </c>
    </row>
    <row r="13">
      <c r="A13" s="8" t="inlineStr">
        <is>
          <t>06/2024</t>
        </is>
      </c>
      <c r="B13" s="4">
        <f>F12</f>
        <v/>
      </c>
      <c r="C13" s="17" t="n"/>
      <c r="D13" s="4" t="n">
        <v>7786.02</v>
      </c>
      <c r="E13" s="4" t="n">
        <v>1412</v>
      </c>
      <c r="F13" s="4">
        <f>MAX(E13,MIN(D13,IF(C13="",B13,TRUNC(B13*(1+C13/100),2))))</f>
        <v/>
      </c>
      <c r="G13" s="18" t="n">
        <v>1</v>
      </c>
      <c r="H13" s="4">
        <f>TRUNC(F13*G13,2)</f>
        <v/>
      </c>
    </row>
    <row r="14">
      <c r="A14" s="8" t="inlineStr">
        <is>
          <t>07/2024</t>
        </is>
      </c>
      <c r="B14" s="4">
        <f>F13</f>
        <v/>
      </c>
      <c r="C14" s="17" t="n"/>
      <c r="D14" s="4" t="n">
        <v>7786.02</v>
      </c>
      <c r="E14" s="4" t="n">
        <v>1412</v>
      </c>
      <c r="F14" s="4">
        <f>MAX(E14,MIN(D14,IF(C14="",B14,TRUNC(B14*(1+C14/100),2))))</f>
        <v/>
      </c>
      <c r="G14" s="18" t="n">
        <v>1</v>
      </c>
      <c r="H14" s="4">
        <f>TRUNC(F14*G14,2)</f>
        <v/>
      </c>
    </row>
    <row r="15">
      <c r="A15" s="8" t="inlineStr">
        <is>
          <t>08/2024</t>
        </is>
      </c>
      <c r="B15" s="4">
        <f>F14</f>
        <v/>
      </c>
      <c r="C15" s="17" t="n"/>
      <c r="D15" s="4" t="n">
        <v>7786.02</v>
      </c>
      <c r="E15" s="4" t="n">
        <v>1412</v>
      </c>
      <c r="F15" s="4">
        <f>MAX(E15,MIN(D15,IF(C15="",B15,TRUNC(B15*(1+C15/100),2))))</f>
        <v/>
      </c>
      <c r="G15" s="18" t="n">
        <v>1</v>
      </c>
      <c r="H15" s="4">
        <f>TRUNC(F15*G15,2)</f>
        <v/>
      </c>
    </row>
    <row r="16">
      <c r="A16" s="8" t="inlineStr">
        <is>
          <t>09/2024</t>
        </is>
      </c>
      <c r="B16" s="4">
        <f>F15</f>
        <v/>
      </c>
      <c r="C16" s="17" t="n"/>
      <c r="D16" s="4" t="n">
        <v>7786.02</v>
      </c>
      <c r="E16" s="4" t="n">
        <v>1412</v>
      </c>
      <c r="F16" s="4">
        <f>MAX(E16,MIN(D16,IF(C16="",B16,TRUNC(B16*(1+C16/100),2))))</f>
        <v/>
      </c>
      <c r="G16" s="18" t="n">
        <v>1</v>
      </c>
      <c r="H16" s="4">
        <f>TRUNC(F16*G16,2)</f>
        <v/>
      </c>
    </row>
    <row r="17">
      <c r="A17" s="8" t="inlineStr">
        <is>
          <t>10/2024</t>
        </is>
      </c>
      <c r="B17" s="4">
        <f>F16</f>
        <v/>
      </c>
      <c r="C17" s="17" t="n"/>
      <c r="D17" s="4" t="n">
        <v>7786.02</v>
      </c>
      <c r="E17" s="4" t="n">
        <v>1412</v>
      </c>
      <c r="F17" s="4">
        <f>MAX(E17,MIN(D17,IF(C17="",B17,TRUNC(B17*(1+C17/100),2))))</f>
        <v/>
      </c>
      <c r="G17" s="18" t="n">
        <v>1</v>
      </c>
      <c r="H17" s="4">
        <f>TRUNC(F17*G17,2)</f>
        <v/>
      </c>
    </row>
    <row r="18">
      <c r="A18" s="8" t="inlineStr">
        <is>
          <t>11/2024</t>
        </is>
      </c>
      <c r="B18" s="4">
        <f>F17</f>
        <v/>
      </c>
      <c r="C18" s="17" t="n"/>
      <c r="D18" s="4" t="n">
        <v>7786.02</v>
      </c>
      <c r="E18" s="4" t="n">
        <v>1412</v>
      </c>
      <c r="F18" s="4">
        <f>MAX(E18,MIN(D18,IF(C18="",B18,TRUNC(B18*(1+C18/100),2))))</f>
        <v/>
      </c>
      <c r="G18" s="18" t="n">
        <v>1</v>
      </c>
      <c r="H18" s="4">
        <f>TRUNC(F18*G18,2)</f>
        <v/>
      </c>
    </row>
    <row r="19">
      <c r="A19" s="8" t="inlineStr">
        <is>
          <t>12/2024</t>
        </is>
      </c>
      <c r="B19" s="4">
        <f>F18</f>
        <v/>
      </c>
      <c r="C19" s="17" t="n"/>
      <c r="D19" s="4" t="n">
        <v>7786.02</v>
      </c>
      <c r="E19" s="4" t="n">
        <v>1412</v>
      </c>
      <c r="F19" s="4">
        <f>MAX(E19,MIN(D19,IF(C19="",B19,TRUNC(B19*(1+C19/100),2))))</f>
        <v/>
      </c>
      <c r="G19" s="18" t="n">
        <v>1</v>
      </c>
      <c r="H19" s="4">
        <f>TRUNC(F19*G19,2)</f>
        <v/>
      </c>
    </row>
    <row r="20">
      <c r="A20" s="8" t="inlineStr">
        <is>
          <t>01/2025</t>
        </is>
      </c>
      <c r="B20" s="4">
        <f>F19</f>
        <v/>
      </c>
      <c r="C20" s="17" t="n">
        <v>4.07</v>
      </c>
      <c r="D20" s="4" t="n">
        <v>8157.41</v>
      </c>
      <c r="E20" s="4" t="n">
        <v>1518</v>
      </c>
      <c r="F20" s="4">
        <f>MAX(E20,MIN(D20,IF(C20="",B20,TRUNC(B20*(1+C20/100),2))))</f>
        <v/>
      </c>
      <c r="G20" s="18" t="n">
        <v>1</v>
      </c>
      <c r="H20" s="4">
        <f>TRUNC(F20*G20,2)</f>
        <v/>
      </c>
    </row>
    <row r="21">
      <c r="A21" s="8" t="inlineStr">
        <is>
          <t>02/2025</t>
        </is>
      </c>
      <c r="B21" s="4">
        <f>F20</f>
        <v/>
      </c>
      <c r="C21" s="17" t="n"/>
      <c r="D21" s="4" t="n">
        <v>8157.41</v>
      </c>
      <c r="E21" s="4" t="n">
        <v>1518</v>
      </c>
      <c r="F21" s="4">
        <f>MAX(E21,MIN(D21,IF(C21="",B21,TRUNC(B21*(1+C21/100),2))))</f>
        <v/>
      </c>
      <c r="G21" s="18" t="n">
        <v>1</v>
      </c>
      <c r="H21" s="4">
        <f>TRUNC(F21*G21,2)</f>
        <v/>
      </c>
    </row>
    <row r="22">
      <c r="A22" s="8" t="inlineStr">
        <is>
          <t>03/2025</t>
        </is>
      </c>
      <c r="B22" s="4">
        <f>F21</f>
        <v/>
      </c>
      <c r="C22" s="17" t="n"/>
      <c r="D22" s="4" t="n">
        <v>8157.41</v>
      </c>
      <c r="E22" s="4" t="n">
        <v>1518</v>
      </c>
      <c r="F22" s="4">
        <f>MAX(E22,MIN(D22,IF(C22="",B22,TRUNC(B22*(1+C22/100),2))))</f>
        <v/>
      </c>
      <c r="G22" s="18" t="n">
        <v>1</v>
      </c>
      <c r="H22" s="4">
        <f>TRUNC(F22*G22,2)</f>
        <v/>
      </c>
    </row>
    <row r="23">
      <c r="A23" s="8" t="inlineStr">
        <is>
          <t>04/2025</t>
        </is>
      </c>
      <c r="B23" s="4">
        <f>F22</f>
        <v/>
      </c>
      <c r="C23" s="17" t="n"/>
      <c r="D23" s="4" t="n">
        <v>8157.41</v>
      </c>
      <c r="E23" s="4" t="n">
        <v>1518</v>
      </c>
      <c r="F23" s="4">
        <f>MAX(E23,MIN(D23,IF(C23="",B23,TRUNC(B23*(1+C23/100),2))))</f>
        <v/>
      </c>
      <c r="G23" s="18" t="n">
        <v>1</v>
      </c>
      <c r="H23" s="4">
        <f>TRUNC(F23*G23,2)</f>
        <v/>
      </c>
    </row>
    <row r="24">
      <c r="A24" s="8" t="inlineStr">
        <is>
          <t>05/2025</t>
        </is>
      </c>
      <c r="B24" s="4">
        <f>F23</f>
        <v/>
      </c>
      <c r="C24" s="17" t="n"/>
      <c r="D24" s="4" t="n">
        <v>8157.41</v>
      </c>
      <c r="E24" s="4" t="n">
        <v>1518</v>
      </c>
      <c r="F24" s="4">
        <f>MAX(E24,MIN(D24,IF(C24="",B24,TRUNC(B24*(1+C24/100),2))))</f>
        <v/>
      </c>
      <c r="G24" s="18" t="n">
        <v>1</v>
      </c>
      <c r="H24" s="4">
        <f>TRUNC(F24*G24,2)</f>
        <v/>
      </c>
    </row>
    <row r="25">
      <c r="A25" s="8" t="inlineStr">
        <is>
          <t>06/2025</t>
        </is>
      </c>
      <c r="B25" s="4">
        <f>F24</f>
        <v/>
      </c>
      <c r="C25" s="17" t="n"/>
      <c r="D25" s="4" t="n">
        <v>8157.41</v>
      </c>
      <c r="E25" s="4" t="n">
        <v>1518</v>
      </c>
      <c r="F25" s="4">
        <f>MAX(E25,MIN(D25,IF(C25="",B25,TRUNC(B25*(1+C25/100),2))))</f>
        <v/>
      </c>
      <c r="G25" s="18" t="n">
        <v>1</v>
      </c>
      <c r="H25" s="4">
        <f>TRUNC(F25*G25,2)</f>
        <v/>
      </c>
    </row>
    <row r="26">
      <c r="A26" s="8" t="inlineStr">
        <is>
          <t>07/2025</t>
        </is>
      </c>
      <c r="B26" s="4">
        <f>F25</f>
        <v/>
      </c>
      <c r="C26" s="17" t="n"/>
      <c r="D26" s="4" t="n">
        <v>8157.41</v>
      </c>
      <c r="E26" s="4" t="n">
        <v>1518</v>
      </c>
      <c r="F26" s="4">
        <f>MAX(E26,MIN(D26,IF(C26="",B26,TRUNC(B26*(1+C26/100),2))))</f>
        <v/>
      </c>
      <c r="G26" s="18" t="n">
        <v>1</v>
      </c>
      <c r="H26" s="4">
        <f>TRUNC(F26*G26,2)</f>
        <v/>
      </c>
    </row>
    <row r="27">
      <c r="A27" s="8" t="inlineStr">
        <is>
          <t>08/2025</t>
        </is>
      </c>
      <c r="B27" s="4">
        <f>F26</f>
        <v/>
      </c>
      <c r="C27" s="17" t="n"/>
      <c r="D27" s="4" t="n">
        <v>8157.41</v>
      </c>
      <c r="E27" s="4" t="n">
        <v>1518</v>
      </c>
      <c r="F27" s="4">
        <f>MAX(E27,MIN(D27,IF(C27="",B27,TRUNC(B27*(1+C27/100),2))))</f>
        <v/>
      </c>
      <c r="G27" s="18" t="n">
        <v>1</v>
      </c>
      <c r="H27" s="4">
        <f>TRUNC(F27*G27,2)</f>
        <v/>
      </c>
    </row>
    <row r="28">
      <c r="A28" s="8" t="inlineStr">
        <is>
          <t>09/2025</t>
        </is>
      </c>
      <c r="B28" s="4">
        <f>F27</f>
        <v/>
      </c>
      <c r="C28" s="17" t="n"/>
      <c r="D28" s="4" t="n">
        <v>8157.41</v>
      </c>
      <c r="E28" s="4" t="n">
        <v>1518</v>
      </c>
      <c r="F28" s="4">
        <f>MAX(E28,MIN(D28,IF(C28="",B28,TRUNC(B28*(1+C28/100),2))))</f>
        <v/>
      </c>
      <c r="G28" s="18" t="n">
        <v>1</v>
      </c>
      <c r="H28" s="4">
        <f>TRUNC(F28*G28,2)</f>
        <v/>
      </c>
    </row>
    <row r="29">
      <c r="A29" s="8" t="inlineStr">
        <is>
          <t>10/2025</t>
        </is>
      </c>
      <c r="B29" s="4">
        <f>F28</f>
        <v/>
      </c>
      <c r="C29" s="17" t="n"/>
      <c r="D29" s="4" t="n">
        <v>8157.41</v>
      </c>
      <c r="E29" s="4" t="n">
        <v>1518</v>
      </c>
      <c r="F29" s="4">
        <f>MAX(E29,MIN(D29,IF(C29="",B29,TRUNC(B29*(1+C29/100),2))))</f>
        <v/>
      </c>
      <c r="G29" s="18" t="n">
        <v>1</v>
      </c>
      <c r="H29" s="4">
        <f>TRUNC(F29*G29,2)</f>
        <v/>
      </c>
    </row>
    <row r="30">
      <c r="A30" s="8" t="inlineStr">
        <is>
          <t>11/2025</t>
        </is>
      </c>
      <c r="B30" s="4">
        <f>F29</f>
        <v/>
      </c>
      <c r="C30" s="17" t="n"/>
      <c r="D30" s="4" t="n">
        <v>8157.41</v>
      </c>
      <c r="E30" s="4" t="n">
        <v>1518</v>
      </c>
      <c r="F30" s="4">
        <f>MAX(E30,MIN(D30,IF(C30="",B30,TRUNC(B30*(1+C30/100),2))))</f>
        <v/>
      </c>
      <c r="G30" s="18" t="n">
        <v>1</v>
      </c>
      <c r="H30" s="4">
        <f>TRUNC(F30*G30,2)</f>
        <v/>
      </c>
    </row>
    <row r="31">
      <c r="A31" s="8" t="inlineStr">
        <is>
          <t>12/2025</t>
        </is>
      </c>
      <c r="B31" s="4">
        <f>F30</f>
        <v/>
      </c>
      <c r="C31" s="17" t="n"/>
      <c r="D31" s="4" t="n">
        <v>8157.41</v>
      </c>
      <c r="E31" s="4" t="n">
        <v>1518</v>
      </c>
      <c r="F31" s="4">
        <f>MAX(E31,MIN(D31,IF(C31="",B31,TRUNC(B31*(1+C31/100),2))))</f>
        <v/>
      </c>
      <c r="G31" s="18" t="n">
        <v>1</v>
      </c>
      <c r="H31" s="4">
        <f>TRUNC(F31*G31,2)</f>
        <v/>
      </c>
    </row>
    <row r="32">
      <c r="A32" s="8" t="inlineStr">
        <is>
          <t>01/2026</t>
        </is>
      </c>
      <c r="B32" s="4">
        <f>F31</f>
        <v/>
      </c>
      <c r="C32" s="17" t="n">
        <v>3.9</v>
      </c>
      <c r="D32" s="4" t="n">
        <v>8475.549999999999</v>
      </c>
      <c r="E32" s="4" t="n">
        <v>1621</v>
      </c>
      <c r="F32" s="4">
        <f>MAX(E32,MIN(D32,IF(C32="",B32,TRUNC(B32*(1+C32/100),2))))</f>
        <v/>
      </c>
      <c r="G32" s="18" t="n">
        <v>1</v>
      </c>
      <c r="H32" s="4">
        <f>TRUNC(F32*G32,2)</f>
        <v/>
      </c>
    </row>
    <row r="33">
      <c r="A33" s="8" t="inlineStr">
        <is>
          <t>02/2026</t>
        </is>
      </c>
      <c r="B33" s="4">
        <f>F32</f>
        <v/>
      </c>
      <c r="C33" s="17" t="n"/>
      <c r="D33" s="4" t="n">
        <v>8475.549999999999</v>
      </c>
      <c r="E33" s="4" t="n">
        <v>1621</v>
      </c>
      <c r="F33" s="4">
        <f>MAX(E33,MIN(D33,IF(C33="",B33,TRUNC(B33*(1+C33/100),2))))</f>
        <v/>
      </c>
      <c r="G33" s="18" t="n">
        <v>1</v>
      </c>
      <c r="H33" s="4">
        <f>TRUNC(F33*G33,2)</f>
        <v/>
      </c>
    </row>
    <row r="34">
      <c r="A34" s="8" t="inlineStr">
        <is>
          <t>03/2026</t>
        </is>
      </c>
      <c r="B34" s="4">
        <f>F33</f>
        <v/>
      </c>
      <c r="C34" s="17" t="n"/>
      <c r="D34" s="4" t="n">
        <v>8475.549999999999</v>
      </c>
      <c r="E34" s="4" t="n">
        <v>1621</v>
      </c>
      <c r="F34" s="4">
        <f>MAX(E34,MIN(D34,IF(C34="",B34,TRUNC(B34*(1+C34/100),2))))</f>
        <v/>
      </c>
      <c r="G34" s="18" t="n">
        <v>1</v>
      </c>
      <c r="H34" s="4">
        <f>TRUNC(F34*G34,2)</f>
        <v/>
      </c>
    </row>
    <row r="35">
      <c r="A35" s="8" t="inlineStr">
        <is>
          <t>04/2026</t>
        </is>
      </c>
      <c r="B35" s="4">
        <f>F34</f>
        <v/>
      </c>
      <c r="C35" s="17" t="n"/>
      <c r="D35" s="4" t="n">
        <v>8475.549999999999</v>
      </c>
      <c r="E35" s="4" t="n">
        <v>1621</v>
      </c>
      <c r="F35" s="4">
        <f>MAX(E35,MIN(D35,IF(C35="",B35,TRUNC(B35*(1+C35/100),2))))</f>
        <v/>
      </c>
      <c r="G35" s="18" t="n">
        <v>1</v>
      </c>
      <c r="H35" s="4">
        <f>TRUNC(F35*G35,2)</f>
        <v/>
      </c>
    </row>
    <row r="36">
      <c r="A36" s="8" t="inlineStr">
        <is>
          <t>05/2026</t>
        </is>
      </c>
      <c r="B36" s="4">
        <f>F35</f>
        <v/>
      </c>
      <c r="C36" s="17" t="n"/>
      <c r="D36" s="4" t="n">
        <v>8475.549999999999</v>
      </c>
      <c r="E36" s="4" t="n">
        <v>1621</v>
      </c>
      <c r="F36" s="4">
        <f>MAX(E36,MIN(D36,IF(C36="",B36,TRUNC(B36*(1+C36/100),2))))</f>
        <v/>
      </c>
      <c r="G36" s="18" t="n">
        <v>1</v>
      </c>
      <c r="H36" s="4">
        <f>TRUNC(F36*G36,2)</f>
        <v/>
      </c>
    </row>
    <row r="37">
      <c r="A37" s="8" t="inlineStr">
        <is>
          <t>06/2026</t>
        </is>
      </c>
      <c r="B37" s="4">
        <f>F36</f>
        <v/>
      </c>
      <c r="C37" s="17" t="n"/>
      <c r="D37" s="4" t="n">
        <v>8475.549999999999</v>
      </c>
      <c r="E37" s="4" t="n">
        <v>1621</v>
      </c>
      <c r="F37" s="4">
        <f>MAX(E37,MIN(D37,IF(C37="",B37,TRUNC(B37*(1+C37/100),2))))</f>
        <v/>
      </c>
      <c r="G37" s="18" t="n">
        <v>1</v>
      </c>
      <c r="H37" s="4">
        <f>TRUNC(F37*G37,2)</f>
        <v/>
      </c>
    </row>
    <row r="38">
      <c r="A38" s="8" t="inlineStr">
        <is>
          <t>07/2026</t>
        </is>
      </c>
      <c r="B38" s="4">
        <f>F37</f>
        <v/>
      </c>
      <c r="C38" s="17" t="n"/>
      <c r="D38" s="4" t="n">
        <v>8475.549999999999</v>
      </c>
      <c r="E38" s="4" t="n">
        <v>1621</v>
      </c>
      <c r="F38" s="4">
        <f>MAX(E38,MIN(D38,IF(C38="",B38,TRUNC(B38*(1+C38/100),2))))</f>
        <v/>
      </c>
      <c r="G38" s="18" t="n">
        <v>1</v>
      </c>
      <c r="H38" s="4">
        <f>TRUNC(F38*G38,2)</f>
        <v/>
      </c>
    </row>
    <row r="39">
      <c r="A39" s="8" t="inlineStr">
        <is>
          <t>08/2026</t>
        </is>
      </c>
      <c r="B39" s="4">
        <f>F38</f>
        <v/>
      </c>
      <c r="C39" s="17" t="n"/>
      <c r="D39" s="4" t="n">
        <v>8475.549999999999</v>
      </c>
      <c r="E39" s="4" t="n">
        <v>1621</v>
      </c>
      <c r="F39" s="4">
        <f>MAX(E39,MIN(D39,IF(C39="",B39,TRUNC(B39*(1+C39/100),2))))</f>
        <v/>
      </c>
      <c r="G39" s="18" t="n">
        <v>1</v>
      </c>
      <c r="H39" s="4">
        <f>TRUNC(F39*G39,2)</f>
        <v/>
      </c>
    </row>
    <row r="40">
      <c r="A40" s="8" t="inlineStr">
        <is>
          <t>09/2026</t>
        </is>
      </c>
      <c r="B40" s="4">
        <f>F39</f>
        <v/>
      </c>
      <c r="C40" s="17" t="n"/>
      <c r="D40" s="4" t="n">
        <v>8475.549999999999</v>
      </c>
      <c r="E40" s="4" t="n">
        <v>1621</v>
      </c>
      <c r="F40" s="4">
        <f>MAX(E40,MIN(D40,IF(C40="",B40,TRUNC(B40*(1+C40/100),2))))</f>
        <v/>
      </c>
      <c r="G40" s="18" t="n">
        <v>1</v>
      </c>
      <c r="H40" s="4">
        <f>TRUNC(F40*G40,2)</f>
        <v/>
      </c>
    </row>
    <row r="42">
      <c r="A42" s="2" t="inlineStr">
        <is>
          <t>Nova R.M.A.:</t>
        </is>
      </c>
      <c r="B42" s="5">
        <f>F40</f>
        <v/>
      </c>
    </row>
    <row r="43">
      <c r="A43" t="inlineStr">
        <is>
          <t>Pró-rata no mês inicial (data da DIB ou da prescrição) e no mês final, proporcional ao número de dias (mês comercial de 30 dias). Valores truncados em centavos. 1º reajuste proporcional ao INPC do mês da DIB a dezembro.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4" customWidth="1" min="4" max="4"/>
    <col width="12" customWidth="1" min="5" max="5"/>
    <col width="14" customWidth="1" min="6" max="6"/>
    <col width="9" customWidth="1" min="7" max="7"/>
    <col width="13" customWidth="1" min="8" max="8"/>
    <col width="15" customWidth="1" min="9" max="9"/>
    <col width="9" customWidth="1" min="10" max="10"/>
    <col width="13" customWidth="1" min="11" max="11"/>
    <col width="15" customWidth="1" min="12" max="12"/>
    <col width="12" customWidth="1" min="13" max="13"/>
    <col width="14" customWidth="1" min="14" max="14"/>
    <col width="10" customWidth="1" min="15" max="15"/>
    <col width="13" customWidth="1" min="16" max="16"/>
    <col width="15" customWidth="1" min="17" max="17"/>
    <col width="14" customWidth="1" min="18" max="18"/>
    <col width="14" customWidth="1" min="19" max="19"/>
    <col width="7" customWidth="1" min="20" max="20"/>
    <col width="8" customWidth="1" min="21" max="21"/>
  </cols>
  <sheetData>
    <row r="1">
      <c r="A1" s="1" t="inlineStr">
        <is>
          <t>Relatório das Diferenças Não Recebidas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6">
      <c r="A6" s="2" t="inlineStr">
        <is>
          <t>Início do Benefício (DIB):</t>
        </is>
      </c>
      <c r="B6" t="inlineStr">
        <is>
          <t>01/03/2024</t>
        </is>
      </c>
      <c r="D6" s="2" t="inlineStr">
        <is>
          <t>Data da Atualização:</t>
        </is>
      </c>
      <c r="E6" t="inlineStr">
        <is>
          <t>15/09/2026</t>
        </is>
      </c>
    </row>
    <row r="7">
      <c r="A7" s="2" t="inlineStr">
        <is>
          <t>Ajuizamento:</t>
        </is>
      </c>
      <c r="B7" t="inlineStr">
        <is>
          <t>10/06/2024</t>
        </is>
      </c>
      <c r="D7" s="2" t="inlineStr">
        <is>
          <t>Data da Prescrição:</t>
        </is>
      </c>
      <c r="E7" t="inlineStr">
        <is>
          <t>01/03/2024</t>
        </is>
      </c>
    </row>
    <row r="9">
      <c r="A9" s="19" t="inlineStr">
        <is>
          <t>Correção monetária: Tabela da Justiça Federal (INPC; IGP-DI de 05/1996 a 08/2006), pró-rata no 1º mês, até 11/2021.</t>
        </is>
      </c>
    </row>
    <row r="10">
      <c r="A10" s="19" t="inlineStr">
        <is>
          <t>Juros de mora a partir da citação: 1% a.m. até 06/2009; 0,5% a.m. até 04/2012; juros da poupança (Lei 12.703/2012) até 11/2021 — sem capitalização.</t>
        </is>
      </c>
    </row>
    <row r="11">
      <c r="A11" s="19" t="inlineStr">
        <is>
          <t>De 12/2021 a 08/2025: SELIC acumulada (simples), uma única vez, substituindo correção e juros (EC 113/2021, art. 3º; Tema 1.419/STF).</t>
        </is>
      </c>
    </row>
    <row r="12">
      <c r="A12" s="19" t="inlineStr">
        <is>
          <t>A partir de 09/2025: correção pelo INPC e juros de mora pela taxa legal (SELIC com dedução do INPC; art. 406 do CC) — Manual de Cálculos da JF, Res. CJF 990/2026 (EC 136/2025).</t>
        </is>
      </c>
    </row>
    <row r="13">
      <c r="A13" s="19" t="inlineStr">
        <is>
          <t>Diferenças consideradas de 01/03/2024 a 31/08/2026.</t>
        </is>
      </c>
    </row>
    <row r="15" ht="32" customHeight="1">
      <c r="A15" s="11" t="inlineStr">
        <is>
          <t>Data</t>
        </is>
      </c>
      <c r="B15" s="11" t="inlineStr">
        <is>
          <t>Valor do Benefício</t>
        </is>
      </c>
      <c r="C15" s="11" t="inlineStr">
        <is>
          <t>Valor Já Recebido</t>
        </is>
      </c>
      <c r="D15" s="11" t="inlineStr">
        <is>
          <t>Diferença</t>
        </is>
      </c>
      <c r="E15" s="11" t="inlineStr">
        <is>
          <t>Índice de Atualização</t>
        </is>
      </c>
      <c r="F15" s="11" t="inlineStr">
        <is>
          <t>Valor Atualizado</t>
        </is>
      </c>
      <c r="G15" s="11" t="inlineStr">
        <is>
          <t>% Juros</t>
        </is>
      </c>
      <c r="H15" s="11" t="inlineStr">
        <is>
          <t>Valor dos Juros</t>
        </is>
      </c>
      <c r="I15" s="11" t="inlineStr">
        <is>
          <t>Valor Atualizado + Juros</t>
        </is>
      </c>
      <c r="J15" s="11" t="inlineStr">
        <is>
          <t>% Selic</t>
        </is>
      </c>
      <c r="K15" s="11" t="inlineStr">
        <is>
          <t>Valor da Selic</t>
        </is>
      </c>
      <c r="L15" s="11" t="inlineStr">
        <is>
          <t>Total até 08/2025</t>
        </is>
      </c>
      <c r="M15" s="11" t="inlineStr">
        <is>
          <t>Índice INPC desde 09/2025</t>
        </is>
      </c>
      <c r="N15" s="11" t="inlineStr">
        <is>
          <t>Valor Corrigido</t>
        </is>
      </c>
      <c r="O15" s="11" t="inlineStr">
        <is>
          <t>% Taxa Legal</t>
        </is>
      </c>
      <c r="P15" s="11" t="inlineStr">
        <is>
          <t>Juros Taxa Legal</t>
        </is>
      </c>
      <c r="Q15" s="11" t="inlineStr">
        <is>
          <t>Total Atualizado</t>
        </is>
      </c>
      <c r="R15" s="11" t="inlineStr">
        <is>
          <t>Base atualizada</t>
        </is>
      </c>
      <c r="S15" s="11" t="inlineStr">
        <is>
          <t>Juros (todos)</t>
        </is>
      </c>
      <c r="T15" s="11" t="inlineStr">
        <is>
          <t>Ano</t>
        </is>
      </c>
      <c r="U15" s="11" t="inlineStr">
        <is>
          <t>Tipo</t>
        </is>
      </c>
    </row>
    <row r="16">
      <c r="A16" s="8" t="inlineStr">
        <is>
          <t>03/2024</t>
        </is>
      </c>
      <c r="B16" s="4">
        <f>'Evolução RMI'!H10</f>
        <v/>
      </c>
      <c r="C16" s="9" t="n">
        <v>0</v>
      </c>
      <c r="D16" s="4">
        <f>B16-C16</f>
        <v/>
      </c>
      <c r="E16" s="17" t="n">
        <v>1</v>
      </c>
      <c r="F16" s="4">
        <f>ROUND(D16*E16,2)</f>
        <v/>
      </c>
      <c r="G16" s="10" t="n">
        <v>0</v>
      </c>
      <c r="H16" s="4">
        <f>ROUND(F16*G16/100,2)</f>
        <v/>
      </c>
      <c r="I16" s="4">
        <f>F16+H16</f>
        <v/>
      </c>
      <c r="J16" s="10" t="n">
        <v>18</v>
      </c>
      <c r="K16" s="4">
        <f>ROUND(I16*J16/100,2)</f>
        <v/>
      </c>
      <c r="L16" s="4">
        <f>I16+K16</f>
        <v/>
      </c>
      <c r="M16" s="17" t="n">
        <v>1.0490702075</v>
      </c>
      <c r="N16" s="4">
        <f>ROUND(L16*M16,2)</f>
        <v/>
      </c>
      <c r="O16" s="10" t="n">
        <v>7.2</v>
      </c>
      <c r="P16" s="4">
        <f>ROUND(N16*O16/100,2)</f>
        <v/>
      </c>
      <c r="Q16" s="4">
        <f>N16+P16</f>
        <v/>
      </c>
      <c r="R16" s="4">
        <f>F16+N16-L16</f>
        <v/>
      </c>
      <c r="S16" s="4">
        <f>H16+K16+P16</f>
        <v/>
      </c>
      <c r="T16" s="20" t="n">
        <v>2024</v>
      </c>
      <c r="U16" s="8" t="inlineStr">
        <is>
          <t>mensal</t>
        </is>
      </c>
    </row>
    <row r="17">
      <c r="A17" s="8" t="inlineStr">
        <is>
          <t>04/2024</t>
        </is>
      </c>
      <c r="B17" s="4">
        <f>'Evolução RMI'!H11</f>
        <v/>
      </c>
      <c r="C17" s="9" t="n">
        <v>0</v>
      </c>
      <c r="D17" s="4">
        <f>B17-C17</f>
        <v/>
      </c>
      <c r="E17" s="17" t="n">
        <v>1</v>
      </c>
      <c r="F17" s="4">
        <f>ROUND(D17*E17,2)</f>
        <v/>
      </c>
      <c r="G17" s="10" t="n">
        <v>0</v>
      </c>
      <c r="H17" s="4">
        <f>ROUND(F17*G17/100,2)</f>
        <v/>
      </c>
      <c r="I17" s="4">
        <f>F17+H17</f>
        <v/>
      </c>
      <c r="J17" s="10" t="n">
        <v>17</v>
      </c>
      <c r="K17" s="4">
        <f>ROUND(I17*J17/100,2)</f>
        <v/>
      </c>
      <c r="L17" s="4">
        <f>I17+K17</f>
        <v/>
      </c>
      <c r="M17" s="17" t="n">
        <v>1.0490702075</v>
      </c>
      <c r="N17" s="4">
        <f>ROUND(L17*M17,2)</f>
        <v/>
      </c>
      <c r="O17" s="10" t="n">
        <v>7.2</v>
      </c>
      <c r="P17" s="4">
        <f>ROUND(N17*O17/100,2)</f>
        <v/>
      </c>
      <c r="Q17" s="4">
        <f>N17+P17</f>
        <v/>
      </c>
      <c r="R17" s="4">
        <f>F17+N17-L17</f>
        <v/>
      </c>
      <c r="S17" s="4">
        <f>H17+K17+P17</f>
        <v/>
      </c>
      <c r="T17" s="20" t="n">
        <v>2024</v>
      </c>
      <c r="U17" s="8" t="inlineStr">
        <is>
          <t>mensal</t>
        </is>
      </c>
    </row>
    <row r="18">
      <c r="A18" s="8" t="inlineStr">
        <is>
          <t>13º</t>
        </is>
      </c>
      <c r="B18" s="4">
        <f>TRUNC('Evolução RMI'!F11/2,2)</f>
        <v/>
      </c>
      <c r="C18" s="9" t="n">
        <v>0</v>
      </c>
      <c r="D18" s="4">
        <f>B18-C18</f>
        <v/>
      </c>
      <c r="E18" s="17" t="n">
        <v>1</v>
      </c>
      <c r="F18" s="4">
        <f>ROUND(D18*E18,2)</f>
        <v/>
      </c>
      <c r="G18" s="10" t="n">
        <v>0</v>
      </c>
      <c r="H18" s="4">
        <f>ROUND(F18*G18/100,2)</f>
        <v/>
      </c>
      <c r="I18" s="4">
        <f>F18+H18</f>
        <v/>
      </c>
      <c r="J18" s="10" t="n">
        <v>17</v>
      </c>
      <c r="K18" s="4">
        <f>ROUND(I18*J18/100,2)</f>
        <v/>
      </c>
      <c r="L18" s="4">
        <f>I18+K18</f>
        <v/>
      </c>
      <c r="M18" s="17" t="n">
        <v>1.0490702075</v>
      </c>
      <c r="N18" s="4">
        <f>ROUND(L18*M18,2)</f>
        <v/>
      </c>
      <c r="O18" s="10" t="n">
        <v>7.2</v>
      </c>
      <c r="P18" s="4">
        <f>ROUND(N18*O18/100,2)</f>
        <v/>
      </c>
      <c r="Q18" s="4">
        <f>N18+P18</f>
        <v/>
      </c>
      <c r="R18" s="4">
        <f>F18+N18-L18</f>
        <v/>
      </c>
      <c r="S18" s="4">
        <f>H18+K18+P18</f>
        <v/>
      </c>
      <c r="T18" s="20" t="n">
        <v>2024</v>
      </c>
      <c r="U18" s="8" t="inlineStr">
        <is>
          <t>13º</t>
        </is>
      </c>
    </row>
    <row r="19">
      <c r="A19" s="8" t="inlineStr">
        <is>
          <t>05/2024</t>
        </is>
      </c>
      <c r="B19" s="4">
        <f>'Evolução RMI'!H12</f>
        <v/>
      </c>
      <c r="C19" s="9" t="n">
        <v>0</v>
      </c>
      <c r="D19" s="4">
        <f>B19-C19</f>
        <v/>
      </c>
      <c r="E19" s="17" t="n">
        <v>1</v>
      </c>
      <c r="F19" s="4">
        <f>ROUND(D19*E19,2)</f>
        <v/>
      </c>
      <c r="G19" s="10" t="n">
        <v>0</v>
      </c>
      <c r="H19" s="4">
        <f>ROUND(F19*G19/100,2)</f>
        <v/>
      </c>
      <c r="I19" s="4">
        <f>F19+H19</f>
        <v/>
      </c>
      <c r="J19" s="10" t="n">
        <v>16</v>
      </c>
      <c r="K19" s="4">
        <f>ROUND(I19*J19/100,2)</f>
        <v/>
      </c>
      <c r="L19" s="4">
        <f>I19+K19</f>
        <v/>
      </c>
      <c r="M19" s="17" t="n">
        <v>1.0490702075</v>
      </c>
      <c r="N19" s="4">
        <f>ROUND(L19*M19,2)</f>
        <v/>
      </c>
      <c r="O19" s="10" t="n">
        <v>7.2</v>
      </c>
      <c r="P19" s="4">
        <f>ROUND(N19*O19/100,2)</f>
        <v/>
      </c>
      <c r="Q19" s="4">
        <f>N19+P19</f>
        <v/>
      </c>
      <c r="R19" s="4">
        <f>F19+N19-L19</f>
        <v/>
      </c>
      <c r="S19" s="4">
        <f>H19+K19+P19</f>
        <v/>
      </c>
      <c r="T19" s="20" t="n">
        <v>2024</v>
      </c>
      <c r="U19" s="8" t="inlineStr">
        <is>
          <t>mensal</t>
        </is>
      </c>
    </row>
    <row r="20">
      <c r="A20" s="8" t="inlineStr">
        <is>
          <t>13º</t>
        </is>
      </c>
      <c r="B20" s="4">
        <f>TRUNC('Evolução RMI'!F12*10/12-'Evolução RMI'!F11/2,2)</f>
        <v/>
      </c>
      <c r="C20" s="9" t="n">
        <v>0</v>
      </c>
      <c r="D20" s="4">
        <f>B20-C20</f>
        <v/>
      </c>
      <c r="E20" s="17" t="n">
        <v>1</v>
      </c>
      <c r="F20" s="4">
        <f>ROUND(D20*E20,2)</f>
        <v/>
      </c>
      <c r="G20" s="10" t="n">
        <v>0</v>
      </c>
      <c r="H20" s="4">
        <f>ROUND(F20*G20/100,2)</f>
        <v/>
      </c>
      <c r="I20" s="4">
        <f>F20+H20</f>
        <v/>
      </c>
      <c r="J20" s="10" t="n">
        <v>16</v>
      </c>
      <c r="K20" s="4">
        <f>ROUND(I20*J20/100,2)</f>
        <v/>
      </c>
      <c r="L20" s="4">
        <f>I20+K20</f>
        <v/>
      </c>
      <c r="M20" s="17" t="n">
        <v>1.0490702075</v>
      </c>
      <c r="N20" s="4">
        <f>ROUND(L20*M20,2)</f>
        <v/>
      </c>
      <c r="O20" s="10" t="n">
        <v>7.2</v>
      </c>
      <c r="P20" s="4">
        <f>ROUND(N20*O20/100,2)</f>
        <v/>
      </c>
      <c r="Q20" s="4">
        <f>N20+P20</f>
        <v/>
      </c>
      <c r="R20" s="4">
        <f>F20+N20-L20</f>
        <v/>
      </c>
      <c r="S20" s="4">
        <f>H20+K20+P20</f>
        <v/>
      </c>
      <c r="T20" s="20" t="n">
        <v>2024</v>
      </c>
      <c r="U20" s="8" t="inlineStr">
        <is>
          <t>13º</t>
        </is>
      </c>
    </row>
    <row r="21">
      <c r="A21" s="8" t="inlineStr">
        <is>
          <t>06/2024</t>
        </is>
      </c>
      <c r="B21" s="4">
        <f>'Evolução RMI'!H13</f>
        <v/>
      </c>
      <c r="C21" s="9" t="n">
        <v>0</v>
      </c>
      <c r="D21" s="4">
        <f>B21-C21</f>
        <v/>
      </c>
      <c r="E21" s="17" t="n">
        <v>1</v>
      </c>
      <c r="F21" s="4">
        <f>ROUND(D21*E21,2)</f>
        <v/>
      </c>
      <c r="G21" s="10" t="n">
        <v>0</v>
      </c>
      <c r="H21" s="4">
        <f>ROUND(F21*G21/100,2)</f>
        <v/>
      </c>
      <c r="I21" s="4">
        <f>F21+H21</f>
        <v/>
      </c>
      <c r="J21" s="10" t="n">
        <v>15</v>
      </c>
      <c r="K21" s="4">
        <f>ROUND(I21*J21/100,2)</f>
        <v/>
      </c>
      <c r="L21" s="4">
        <f>I21+K21</f>
        <v/>
      </c>
      <c r="M21" s="17" t="n">
        <v>1.0490702075</v>
      </c>
      <c r="N21" s="4">
        <f>ROUND(L21*M21,2)</f>
        <v/>
      </c>
      <c r="O21" s="10" t="n">
        <v>7.2</v>
      </c>
      <c r="P21" s="4">
        <f>ROUND(N21*O21/100,2)</f>
        <v/>
      </c>
      <c r="Q21" s="4">
        <f>N21+P21</f>
        <v/>
      </c>
      <c r="R21" s="4">
        <f>F21+N21-L21</f>
        <v/>
      </c>
      <c r="S21" s="4">
        <f>H21+K21+P21</f>
        <v/>
      </c>
      <c r="T21" s="20" t="n">
        <v>2024</v>
      </c>
      <c r="U21" s="8" t="inlineStr">
        <is>
          <t>mensal</t>
        </is>
      </c>
    </row>
    <row r="22">
      <c r="A22" s="8" t="inlineStr">
        <is>
          <t>07/2024</t>
        </is>
      </c>
      <c r="B22" s="4">
        <f>'Evolução RMI'!H14</f>
        <v/>
      </c>
      <c r="C22" s="9" t="n">
        <v>0</v>
      </c>
      <c r="D22" s="4">
        <f>B22-C22</f>
        <v/>
      </c>
      <c r="E22" s="17" t="n">
        <v>1</v>
      </c>
      <c r="F22" s="4">
        <f>ROUND(D22*E22,2)</f>
        <v/>
      </c>
      <c r="G22" s="10" t="n">
        <v>0</v>
      </c>
      <c r="H22" s="4">
        <f>ROUND(F22*G22/100,2)</f>
        <v/>
      </c>
      <c r="I22" s="4">
        <f>F22+H22</f>
        <v/>
      </c>
      <c r="J22" s="10" t="n">
        <v>14</v>
      </c>
      <c r="K22" s="4">
        <f>ROUND(I22*J22/100,2)</f>
        <v/>
      </c>
      <c r="L22" s="4">
        <f>I22+K22</f>
        <v/>
      </c>
      <c r="M22" s="17" t="n">
        <v>1.0490702075</v>
      </c>
      <c r="N22" s="4">
        <f>ROUND(L22*M22,2)</f>
        <v/>
      </c>
      <c r="O22" s="10" t="n">
        <v>7.2</v>
      </c>
      <c r="P22" s="4">
        <f>ROUND(N22*O22/100,2)</f>
        <v/>
      </c>
      <c r="Q22" s="4">
        <f>N22+P22</f>
        <v/>
      </c>
      <c r="R22" s="4">
        <f>F22+N22-L22</f>
        <v/>
      </c>
      <c r="S22" s="4">
        <f>H22+K22+P22</f>
        <v/>
      </c>
      <c r="T22" s="20" t="n">
        <v>2024</v>
      </c>
      <c r="U22" s="8" t="inlineStr">
        <is>
          <t>mensal</t>
        </is>
      </c>
    </row>
    <row r="23">
      <c r="A23" s="8" t="inlineStr">
        <is>
          <t>08/2024</t>
        </is>
      </c>
      <c r="B23" s="4">
        <f>'Evolução RMI'!H15</f>
        <v/>
      </c>
      <c r="C23" s="9" t="n">
        <v>0</v>
      </c>
      <c r="D23" s="4">
        <f>B23-C23</f>
        <v/>
      </c>
      <c r="E23" s="17" t="n">
        <v>1</v>
      </c>
      <c r="F23" s="4">
        <f>ROUND(D23*E23,2)</f>
        <v/>
      </c>
      <c r="G23" s="10" t="n">
        <v>0</v>
      </c>
      <c r="H23" s="4">
        <f>ROUND(F23*G23/100,2)</f>
        <v/>
      </c>
      <c r="I23" s="4">
        <f>F23+H23</f>
        <v/>
      </c>
      <c r="J23" s="10" t="n">
        <v>13</v>
      </c>
      <c r="K23" s="4">
        <f>ROUND(I23*J23/100,2)</f>
        <v/>
      </c>
      <c r="L23" s="4">
        <f>I23+K23</f>
        <v/>
      </c>
      <c r="M23" s="17" t="n">
        <v>1.0490702075</v>
      </c>
      <c r="N23" s="4">
        <f>ROUND(L23*M23,2)</f>
        <v/>
      </c>
      <c r="O23" s="10" t="n">
        <v>7.2</v>
      </c>
      <c r="P23" s="4">
        <f>ROUND(N23*O23/100,2)</f>
        <v/>
      </c>
      <c r="Q23" s="4">
        <f>N23+P23</f>
        <v/>
      </c>
      <c r="R23" s="4">
        <f>F23+N23-L23</f>
        <v/>
      </c>
      <c r="S23" s="4">
        <f>H23+K23+P23</f>
        <v/>
      </c>
      <c r="T23" s="20" t="n">
        <v>2024</v>
      </c>
      <c r="U23" s="8" t="inlineStr">
        <is>
          <t>mensal</t>
        </is>
      </c>
    </row>
    <row r="24">
      <c r="A24" s="8" t="inlineStr">
        <is>
          <t>09/2024</t>
        </is>
      </c>
      <c r="B24" s="4">
        <f>'Evolução RMI'!H16</f>
        <v/>
      </c>
      <c r="C24" s="9" t="n">
        <v>0</v>
      </c>
      <c r="D24" s="4">
        <f>B24-C24</f>
        <v/>
      </c>
      <c r="E24" s="17" t="n">
        <v>1</v>
      </c>
      <c r="F24" s="4">
        <f>ROUND(D24*E24,2)</f>
        <v/>
      </c>
      <c r="G24" s="10" t="n">
        <v>0</v>
      </c>
      <c r="H24" s="4">
        <f>ROUND(F24*G24/100,2)</f>
        <v/>
      </c>
      <c r="I24" s="4">
        <f>F24+H24</f>
        <v/>
      </c>
      <c r="J24" s="10" t="n">
        <v>12</v>
      </c>
      <c r="K24" s="4">
        <f>ROUND(I24*J24/100,2)</f>
        <v/>
      </c>
      <c r="L24" s="4">
        <f>I24+K24</f>
        <v/>
      </c>
      <c r="M24" s="17" t="n">
        <v>1.0490702075</v>
      </c>
      <c r="N24" s="4">
        <f>ROUND(L24*M24,2)</f>
        <v/>
      </c>
      <c r="O24" s="10" t="n">
        <v>7.2</v>
      </c>
      <c r="P24" s="4">
        <f>ROUND(N24*O24/100,2)</f>
        <v/>
      </c>
      <c r="Q24" s="4">
        <f>N24+P24</f>
        <v/>
      </c>
      <c r="R24" s="4">
        <f>F24+N24-L24</f>
        <v/>
      </c>
      <c r="S24" s="4">
        <f>H24+K24+P24</f>
        <v/>
      </c>
      <c r="T24" s="20" t="n">
        <v>2024</v>
      </c>
      <c r="U24" s="8" t="inlineStr">
        <is>
          <t>mensal</t>
        </is>
      </c>
    </row>
    <row r="25">
      <c r="A25" s="8" t="inlineStr">
        <is>
          <t>10/2024</t>
        </is>
      </c>
      <c r="B25" s="4">
        <f>'Evolução RMI'!H17</f>
        <v/>
      </c>
      <c r="C25" s="9" t="n">
        <v>0</v>
      </c>
      <c r="D25" s="4">
        <f>B25-C25</f>
        <v/>
      </c>
      <c r="E25" s="17" t="n">
        <v>1</v>
      </c>
      <c r="F25" s="4">
        <f>ROUND(D25*E25,2)</f>
        <v/>
      </c>
      <c r="G25" s="10" t="n">
        <v>0</v>
      </c>
      <c r="H25" s="4">
        <f>ROUND(F25*G25/100,2)</f>
        <v/>
      </c>
      <c r="I25" s="4">
        <f>F25+H25</f>
        <v/>
      </c>
      <c r="J25" s="10" t="n">
        <v>11</v>
      </c>
      <c r="K25" s="4">
        <f>ROUND(I25*J25/100,2)</f>
        <v/>
      </c>
      <c r="L25" s="4">
        <f>I25+K25</f>
        <v/>
      </c>
      <c r="M25" s="17" t="n">
        <v>1.0490702075</v>
      </c>
      <c r="N25" s="4">
        <f>ROUND(L25*M25,2)</f>
        <v/>
      </c>
      <c r="O25" s="10" t="n">
        <v>7.2</v>
      </c>
      <c r="P25" s="4">
        <f>ROUND(N25*O25/100,2)</f>
        <v/>
      </c>
      <c r="Q25" s="4">
        <f>N25+P25</f>
        <v/>
      </c>
      <c r="R25" s="4">
        <f>F25+N25-L25</f>
        <v/>
      </c>
      <c r="S25" s="4">
        <f>H25+K25+P25</f>
        <v/>
      </c>
      <c r="T25" s="20" t="n">
        <v>2024</v>
      </c>
      <c r="U25" s="8" t="inlineStr">
        <is>
          <t>mensal</t>
        </is>
      </c>
    </row>
    <row r="26">
      <c r="A26" s="8" t="inlineStr">
        <is>
          <t>11/2024</t>
        </is>
      </c>
      <c r="B26" s="4">
        <f>'Evolução RMI'!H18</f>
        <v/>
      </c>
      <c r="C26" s="9" t="n">
        <v>0</v>
      </c>
      <c r="D26" s="4">
        <f>B26-C26</f>
        <v/>
      </c>
      <c r="E26" s="17" t="n">
        <v>1</v>
      </c>
      <c r="F26" s="4">
        <f>ROUND(D26*E26,2)</f>
        <v/>
      </c>
      <c r="G26" s="10" t="n">
        <v>0</v>
      </c>
      <c r="H26" s="4">
        <f>ROUND(F26*G26/100,2)</f>
        <v/>
      </c>
      <c r="I26" s="4">
        <f>F26+H26</f>
        <v/>
      </c>
      <c r="J26" s="10" t="n">
        <v>10</v>
      </c>
      <c r="K26" s="4">
        <f>ROUND(I26*J26/100,2)</f>
        <v/>
      </c>
      <c r="L26" s="4">
        <f>I26+K26</f>
        <v/>
      </c>
      <c r="M26" s="17" t="n">
        <v>1.0490702075</v>
      </c>
      <c r="N26" s="4">
        <f>ROUND(L26*M26,2)</f>
        <v/>
      </c>
      <c r="O26" s="10" t="n">
        <v>7.2</v>
      </c>
      <c r="P26" s="4">
        <f>ROUND(N26*O26/100,2)</f>
        <v/>
      </c>
      <c r="Q26" s="4">
        <f>N26+P26</f>
        <v/>
      </c>
      <c r="R26" s="4">
        <f>F26+N26-L26</f>
        <v/>
      </c>
      <c r="S26" s="4">
        <f>H26+K26+P26</f>
        <v/>
      </c>
      <c r="T26" s="20" t="n">
        <v>2024</v>
      </c>
      <c r="U26" s="8" t="inlineStr">
        <is>
          <t>mensal</t>
        </is>
      </c>
    </row>
    <row r="27">
      <c r="A27" s="8" t="inlineStr">
        <is>
          <t>12/2024</t>
        </is>
      </c>
      <c r="B27" s="4">
        <f>'Evolução RMI'!H19</f>
        <v/>
      </c>
      <c r="C27" s="9" t="n">
        <v>0</v>
      </c>
      <c r="D27" s="4">
        <f>B27-C27</f>
        <v/>
      </c>
      <c r="E27" s="17" t="n">
        <v>1</v>
      </c>
      <c r="F27" s="4">
        <f>ROUND(D27*E27,2)</f>
        <v/>
      </c>
      <c r="G27" s="10" t="n">
        <v>0</v>
      </c>
      <c r="H27" s="4">
        <f>ROUND(F27*G27/100,2)</f>
        <v/>
      </c>
      <c r="I27" s="4">
        <f>F27+H27</f>
        <v/>
      </c>
      <c r="J27" s="10" t="n">
        <v>9</v>
      </c>
      <c r="K27" s="4">
        <f>ROUND(I27*J27/100,2)</f>
        <v/>
      </c>
      <c r="L27" s="4">
        <f>I27+K27</f>
        <v/>
      </c>
      <c r="M27" s="17" t="n">
        <v>1.0490702075</v>
      </c>
      <c r="N27" s="4">
        <f>ROUND(L27*M27,2)</f>
        <v/>
      </c>
      <c r="O27" s="10" t="n">
        <v>7.2</v>
      </c>
      <c r="P27" s="4">
        <f>ROUND(N27*O27/100,2)</f>
        <v/>
      </c>
      <c r="Q27" s="4">
        <f>N27+P27</f>
        <v/>
      </c>
      <c r="R27" s="4">
        <f>F27+N27-L27</f>
        <v/>
      </c>
      <c r="S27" s="4">
        <f>H27+K27+P27</f>
        <v/>
      </c>
      <c r="T27" s="20" t="n">
        <v>2024</v>
      </c>
      <c r="U27" s="8" t="inlineStr">
        <is>
          <t>mensal</t>
        </is>
      </c>
    </row>
    <row r="28">
      <c r="A28" s="8" t="inlineStr">
        <is>
          <t>01/2025</t>
        </is>
      </c>
      <c r="B28" s="4">
        <f>'Evolução RMI'!H20</f>
        <v/>
      </c>
      <c r="C28" s="9" t="n">
        <v>0</v>
      </c>
      <c r="D28" s="4">
        <f>B28-C28</f>
        <v/>
      </c>
      <c r="E28" s="17" t="n">
        <v>1</v>
      </c>
      <c r="F28" s="4">
        <f>ROUND(D28*E28,2)</f>
        <v/>
      </c>
      <c r="G28" s="10" t="n">
        <v>0</v>
      </c>
      <c r="H28" s="4">
        <f>ROUND(F28*G28/100,2)</f>
        <v/>
      </c>
      <c r="I28" s="4">
        <f>F28+H28</f>
        <v/>
      </c>
      <c r="J28" s="10" t="n">
        <v>8</v>
      </c>
      <c r="K28" s="4">
        <f>ROUND(I28*J28/100,2)</f>
        <v/>
      </c>
      <c r="L28" s="4">
        <f>I28+K28</f>
        <v/>
      </c>
      <c r="M28" s="17" t="n">
        <v>1.0490702075</v>
      </c>
      <c r="N28" s="4">
        <f>ROUND(L28*M28,2)</f>
        <v/>
      </c>
      <c r="O28" s="10" t="n">
        <v>7.2</v>
      </c>
      <c r="P28" s="4">
        <f>ROUND(N28*O28/100,2)</f>
        <v/>
      </c>
      <c r="Q28" s="4">
        <f>N28+P28</f>
        <v/>
      </c>
      <c r="R28" s="4">
        <f>F28+N28-L28</f>
        <v/>
      </c>
      <c r="S28" s="4">
        <f>H28+K28+P28</f>
        <v/>
      </c>
      <c r="T28" s="20" t="n">
        <v>2025</v>
      </c>
      <c r="U28" s="8" t="inlineStr">
        <is>
          <t>mensal</t>
        </is>
      </c>
    </row>
    <row r="29">
      <c r="A29" s="8" t="inlineStr">
        <is>
          <t>02/2025</t>
        </is>
      </c>
      <c r="B29" s="4">
        <f>'Evolução RMI'!H21</f>
        <v/>
      </c>
      <c r="C29" s="9" t="n">
        <v>0</v>
      </c>
      <c r="D29" s="4">
        <f>B29-C29</f>
        <v/>
      </c>
      <c r="E29" s="17" t="n">
        <v>1</v>
      </c>
      <c r="F29" s="4">
        <f>ROUND(D29*E29,2)</f>
        <v/>
      </c>
      <c r="G29" s="10" t="n">
        <v>0</v>
      </c>
      <c r="H29" s="4">
        <f>ROUND(F29*G29/100,2)</f>
        <v/>
      </c>
      <c r="I29" s="4">
        <f>F29+H29</f>
        <v/>
      </c>
      <c r="J29" s="10" t="n">
        <v>7</v>
      </c>
      <c r="K29" s="4">
        <f>ROUND(I29*J29/100,2)</f>
        <v/>
      </c>
      <c r="L29" s="4">
        <f>I29+K29</f>
        <v/>
      </c>
      <c r="M29" s="17" t="n">
        <v>1.0490702075</v>
      </c>
      <c r="N29" s="4">
        <f>ROUND(L29*M29,2)</f>
        <v/>
      </c>
      <c r="O29" s="10" t="n">
        <v>7.2</v>
      </c>
      <c r="P29" s="4">
        <f>ROUND(N29*O29/100,2)</f>
        <v/>
      </c>
      <c r="Q29" s="4">
        <f>N29+P29</f>
        <v/>
      </c>
      <c r="R29" s="4">
        <f>F29+N29-L29</f>
        <v/>
      </c>
      <c r="S29" s="4">
        <f>H29+K29+P29</f>
        <v/>
      </c>
      <c r="T29" s="20" t="n">
        <v>2025</v>
      </c>
      <c r="U29" s="8" t="inlineStr">
        <is>
          <t>mensal</t>
        </is>
      </c>
    </row>
    <row r="30">
      <c r="A30" s="8" t="inlineStr">
        <is>
          <t>03/2025</t>
        </is>
      </c>
      <c r="B30" s="4">
        <f>'Evolução RMI'!H22</f>
        <v/>
      </c>
      <c r="C30" s="9" t="n">
        <v>0</v>
      </c>
      <c r="D30" s="4">
        <f>B30-C30</f>
        <v/>
      </c>
      <c r="E30" s="17" t="n">
        <v>1</v>
      </c>
      <c r="F30" s="4">
        <f>ROUND(D30*E30,2)</f>
        <v/>
      </c>
      <c r="G30" s="10" t="n">
        <v>0</v>
      </c>
      <c r="H30" s="4">
        <f>ROUND(F30*G30/100,2)</f>
        <v/>
      </c>
      <c r="I30" s="4">
        <f>F30+H30</f>
        <v/>
      </c>
      <c r="J30" s="10" t="n">
        <v>6</v>
      </c>
      <c r="K30" s="4">
        <f>ROUND(I30*J30/100,2)</f>
        <v/>
      </c>
      <c r="L30" s="4">
        <f>I30+K30</f>
        <v/>
      </c>
      <c r="M30" s="17" t="n">
        <v>1.0490702075</v>
      </c>
      <c r="N30" s="4">
        <f>ROUND(L30*M30,2)</f>
        <v/>
      </c>
      <c r="O30" s="10" t="n">
        <v>7.2</v>
      </c>
      <c r="P30" s="4">
        <f>ROUND(N30*O30/100,2)</f>
        <v/>
      </c>
      <c r="Q30" s="4">
        <f>N30+P30</f>
        <v/>
      </c>
      <c r="R30" s="4">
        <f>F30+N30-L30</f>
        <v/>
      </c>
      <c r="S30" s="4">
        <f>H30+K30+P30</f>
        <v/>
      </c>
      <c r="T30" s="20" t="n">
        <v>2025</v>
      </c>
      <c r="U30" s="8" t="inlineStr">
        <is>
          <t>mensal</t>
        </is>
      </c>
    </row>
    <row r="31">
      <c r="A31" s="8" t="inlineStr">
        <is>
          <t>04/2025</t>
        </is>
      </c>
      <c r="B31" s="4">
        <f>'Evolução RMI'!H23</f>
        <v/>
      </c>
      <c r="C31" s="9" t="n">
        <v>0</v>
      </c>
      <c r="D31" s="4">
        <f>B31-C31</f>
        <v/>
      </c>
      <c r="E31" s="17" t="n">
        <v>1</v>
      </c>
      <c r="F31" s="4">
        <f>ROUND(D31*E31,2)</f>
        <v/>
      </c>
      <c r="G31" s="10" t="n">
        <v>0</v>
      </c>
      <c r="H31" s="4">
        <f>ROUND(F31*G31/100,2)</f>
        <v/>
      </c>
      <c r="I31" s="4">
        <f>F31+H31</f>
        <v/>
      </c>
      <c r="J31" s="10" t="n">
        <v>5</v>
      </c>
      <c r="K31" s="4">
        <f>ROUND(I31*J31/100,2)</f>
        <v/>
      </c>
      <c r="L31" s="4">
        <f>I31+K31</f>
        <v/>
      </c>
      <c r="M31" s="17" t="n">
        <v>1.0490702075</v>
      </c>
      <c r="N31" s="4">
        <f>ROUND(L31*M31,2)</f>
        <v/>
      </c>
      <c r="O31" s="10" t="n">
        <v>7.2</v>
      </c>
      <c r="P31" s="4">
        <f>ROUND(N31*O31/100,2)</f>
        <v/>
      </c>
      <c r="Q31" s="4">
        <f>N31+P31</f>
        <v/>
      </c>
      <c r="R31" s="4">
        <f>F31+N31-L31</f>
        <v/>
      </c>
      <c r="S31" s="4">
        <f>H31+K31+P31</f>
        <v/>
      </c>
      <c r="T31" s="20" t="n">
        <v>2025</v>
      </c>
      <c r="U31" s="8" t="inlineStr">
        <is>
          <t>mensal</t>
        </is>
      </c>
    </row>
    <row r="32">
      <c r="A32" s="8" t="inlineStr">
        <is>
          <t>13º</t>
        </is>
      </c>
      <c r="B32" s="4">
        <f>TRUNC('Evolução RMI'!F23/2,2)</f>
        <v/>
      </c>
      <c r="C32" s="9" t="n">
        <v>0</v>
      </c>
      <c r="D32" s="4">
        <f>B32-C32</f>
        <v/>
      </c>
      <c r="E32" s="17" t="n">
        <v>1</v>
      </c>
      <c r="F32" s="4">
        <f>ROUND(D32*E32,2)</f>
        <v/>
      </c>
      <c r="G32" s="10" t="n">
        <v>0</v>
      </c>
      <c r="H32" s="4">
        <f>ROUND(F32*G32/100,2)</f>
        <v/>
      </c>
      <c r="I32" s="4">
        <f>F32+H32</f>
        <v/>
      </c>
      <c r="J32" s="10" t="n">
        <v>5</v>
      </c>
      <c r="K32" s="4">
        <f>ROUND(I32*J32/100,2)</f>
        <v/>
      </c>
      <c r="L32" s="4">
        <f>I32+K32</f>
        <v/>
      </c>
      <c r="M32" s="17" t="n">
        <v>1.0490702075</v>
      </c>
      <c r="N32" s="4">
        <f>ROUND(L32*M32,2)</f>
        <v/>
      </c>
      <c r="O32" s="10" t="n">
        <v>7.2</v>
      </c>
      <c r="P32" s="4">
        <f>ROUND(N32*O32/100,2)</f>
        <v/>
      </c>
      <c r="Q32" s="4">
        <f>N32+P32</f>
        <v/>
      </c>
      <c r="R32" s="4">
        <f>F32+N32-L32</f>
        <v/>
      </c>
      <c r="S32" s="4">
        <f>H32+K32+P32</f>
        <v/>
      </c>
      <c r="T32" s="20" t="n">
        <v>2025</v>
      </c>
      <c r="U32" s="8" t="inlineStr">
        <is>
          <t>13º</t>
        </is>
      </c>
    </row>
    <row r="33">
      <c r="A33" s="8" t="inlineStr">
        <is>
          <t>05/2025</t>
        </is>
      </c>
      <c r="B33" s="4">
        <f>'Evolução RMI'!H24</f>
        <v/>
      </c>
      <c r="C33" s="9" t="n">
        <v>0</v>
      </c>
      <c r="D33" s="4">
        <f>B33-C33</f>
        <v/>
      </c>
      <c r="E33" s="17" t="n">
        <v>1</v>
      </c>
      <c r="F33" s="4">
        <f>ROUND(D33*E33,2)</f>
        <v/>
      </c>
      <c r="G33" s="10" t="n">
        <v>0</v>
      </c>
      <c r="H33" s="4">
        <f>ROUND(F33*G33/100,2)</f>
        <v/>
      </c>
      <c r="I33" s="4">
        <f>F33+H33</f>
        <v/>
      </c>
      <c r="J33" s="10" t="n">
        <v>4</v>
      </c>
      <c r="K33" s="4">
        <f>ROUND(I33*J33/100,2)</f>
        <v/>
      </c>
      <c r="L33" s="4">
        <f>I33+K33</f>
        <v/>
      </c>
      <c r="M33" s="17" t="n">
        <v>1.0490702075</v>
      </c>
      <c r="N33" s="4">
        <f>ROUND(L33*M33,2)</f>
        <v/>
      </c>
      <c r="O33" s="10" t="n">
        <v>7.2</v>
      </c>
      <c r="P33" s="4">
        <f>ROUND(N33*O33/100,2)</f>
        <v/>
      </c>
      <c r="Q33" s="4">
        <f>N33+P33</f>
        <v/>
      </c>
      <c r="R33" s="4">
        <f>F33+N33-L33</f>
        <v/>
      </c>
      <c r="S33" s="4">
        <f>H33+K33+P33</f>
        <v/>
      </c>
      <c r="T33" s="20" t="n">
        <v>2025</v>
      </c>
      <c r="U33" s="8" t="inlineStr">
        <is>
          <t>mensal</t>
        </is>
      </c>
    </row>
    <row r="34">
      <c r="A34" s="8" t="inlineStr">
        <is>
          <t>13º</t>
        </is>
      </c>
      <c r="B34" s="4">
        <f>TRUNC('Evolução RMI'!F24*12/12-'Evolução RMI'!F23/2,2)</f>
        <v/>
      </c>
      <c r="C34" s="9" t="n">
        <v>0</v>
      </c>
      <c r="D34" s="4">
        <f>B34-C34</f>
        <v/>
      </c>
      <c r="E34" s="17" t="n">
        <v>1</v>
      </c>
      <c r="F34" s="4">
        <f>ROUND(D34*E34,2)</f>
        <v/>
      </c>
      <c r="G34" s="10" t="n">
        <v>0</v>
      </c>
      <c r="H34" s="4">
        <f>ROUND(F34*G34/100,2)</f>
        <v/>
      </c>
      <c r="I34" s="4">
        <f>F34+H34</f>
        <v/>
      </c>
      <c r="J34" s="10" t="n">
        <v>4</v>
      </c>
      <c r="K34" s="4">
        <f>ROUND(I34*J34/100,2)</f>
        <v/>
      </c>
      <c r="L34" s="4">
        <f>I34+K34</f>
        <v/>
      </c>
      <c r="M34" s="17" t="n">
        <v>1.0490702075</v>
      </c>
      <c r="N34" s="4">
        <f>ROUND(L34*M34,2)</f>
        <v/>
      </c>
      <c r="O34" s="10" t="n">
        <v>7.2</v>
      </c>
      <c r="P34" s="4">
        <f>ROUND(N34*O34/100,2)</f>
        <v/>
      </c>
      <c r="Q34" s="4">
        <f>N34+P34</f>
        <v/>
      </c>
      <c r="R34" s="4">
        <f>F34+N34-L34</f>
        <v/>
      </c>
      <c r="S34" s="4">
        <f>H34+K34+P34</f>
        <v/>
      </c>
      <c r="T34" s="20" t="n">
        <v>2025</v>
      </c>
      <c r="U34" s="8" t="inlineStr">
        <is>
          <t>13º</t>
        </is>
      </c>
    </row>
    <row r="35">
      <c r="A35" s="8" t="inlineStr">
        <is>
          <t>06/2025</t>
        </is>
      </c>
      <c r="B35" s="4">
        <f>'Evolução RMI'!H25</f>
        <v/>
      </c>
      <c r="C35" s="9" t="n">
        <v>0</v>
      </c>
      <c r="D35" s="4">
        <f>B35-C35</f>
        <v/>
      </c>
      <c r="E35" s="17" t="n">
        <v>1</v>
      </c>
      <c r="F35" s="4">
        <f>ROUND(D35*E35,2)</f>
        <v/>
      </c>
      <c r="G35" s="10" t="n">
        <v>0</v>
      </c>
      <c r="H35" s="4">
        <f>ROUND(F35*G35/100,2)</f>
        <v/>
      </c>
      <c r="I35" s="4">
        <f>F35+H35</f>
        <v/>
      </c>
      <c r="J35" s="10" t="n">
        <v>3</v>
      </c>
      <c r="K35" s="4">
        <f>ROUND(I35*J35/100,2)</f>
        <v/>
      </c>
      <c r="L35" s="4">
        <f>I35+K35</f>
        <v/>
      </c>
      <c r="M35" s="17" t="n">
        <v>1.0490702075</v>
      </c>
      <c r="N35" s="4">
        <f>ROUND(L35*M35,2)</f>
        <v/>
      </c>
      <c r="O35" s="10" t="n">
        <v>7.2</v>
      </c>
      <c r="P35" s="4">
        <f>ROUND(N35*O35/100,2)</f>
        <v/>
      </c>
      <c r="Q35" s="4">
        <f>N35+P35</f>
        <v/>
      </c>
      <c r="R35" s="4">
        <f>F35+N35-L35</f>
        <v/>
      </c>
      <c r="S35" s="4">
        <f>H35+K35+P35</f>
        <v/>
      </c>
      <c r="T35" s="20" t="n">
        <v>2025</v>
      </c>
      <c r="U35" s="8" t="inlineStr">
        <is>
          <t>mensal</t>
        </is>
      </c>
    </row>
    <row r="36">
      <c r="A36" s="8" t="inlineStr">
        <is>
          <t>07/2025</t>
        </is>
      </c>
      <c r="B36" s="4">
        <f>'Evolução RMI'!H26</f>
        <v/>
      </c>
      <c r="C36" s="9" t="n">
        <v>0</v>
      </c>
      <c r="D36" s="4">
        <f>B36-C36</f>
        <v/>
      </c>
      <c r="E36" s="17" t="n">
        <v>1</v>
      </c>
      <c r="F36" s="4">
        <f>ROUND(D36*E36,2)</f>
        <v/>
      </c>
      <c r="G36" s="10" t="n">
        <v>0</v>
      </c>
      <c r="H36" s="4">
        <f>ROUND(F36*G36/100,2)</f>
        <v/>
      </c>
      <c r="I36" s="4">
        <f>F36+H36</f>
        <v/>
      </c>
      <c r="J36" s="10" t="n">
        <v>2</v>
      </c>
      <c r="K36" s="4">
        <f>ROUND(I36*J36/100,2)</f>
        <v/>
      </c>
      <c r="L36" s="4">
        <f>I36+K36</f>
        <v/>
      </c>
      <c r="M36" s="17" t="n">
        <v>1.0490702075</v>
      </c>
      <c r="N36" s="4">
        <f>ROUND(L36*M36,2)</f>
        <v/>
      </c>
      <c r="O36" s="10" t="n">
        <v>7.2</v>
      </c>
      <c r="P36" s="4">
        <f>ROUND(N36*O36/100,2)</f>
        <v/>
      </c>
      <c r="Q36" s="4">
        <f>N36+P36</f>
        <v/>
      </c>
      <c r="R36" s="4">
        <f>F36+N36-L36</f>
        <v/>
      </c>
      <c r="S36" s="4">
        <f>H36+K36+P36</f>
        <v/>
      </c>
      <c r="T36" s="20" t="n">
        <v>2025</v>
      </c>
      <c r="U36" s="8" t="inlineStr">
        <is>
          <t>mensal</t>
        </is>
      </c>
    </row>
    <row r="37">
      <c r="A37" s="8" t="inlineStr">
        <is>
          <t>08/2025</t>
        </is>
      </c>
      <c r="B37" s="4">
        <f>'Evolução RMI'!H27</f>
        <v/>
      </c>
      <c r="C37" s="9" t="n">
        <v>0</v>
      </c>
      <c r="D37" s="4">
        <f>B37-C37</f>
        <v/>
      </c>
      <c r="E37" s="17" t="n">
        <v>1</v>
      </c>
      <c r="F37" s="4">
        <f>ROUND(D37*E37,2)</f>
        <v/>
      </c>
      <c r="G37" s="10" t="n">
        <v>0</v>
      </c>
      <c r="H37" s="4">
        <f>ROUND(F37*G37/100,2)</f>
        <v/>
      </c>
      <c r="I37" s="4">
        <f>F37+H37</f>
        <v/>
      </c>
      <c r="J37" s="10" t="n">
        <v>1</v>
      </c>
      <c r="K37" s="4">
        <f>ROUND(I37*J37/100,2)</f>
        <v/>
      </c>
      <c r="L37" s="4">
        <f>I37+K37</f>
        <v/>
      </c>
      <c r="M37" s="17" t="n">
        <v>1.0490702075</v>
      </c>
      <c r="N37" s="4">
        <f>ROUND(L37*M37,2)</f>
        <v/>
      </c>
      <c r="O37" s="10" t="n">
        <v>7.2</v>
      </c>
      <c r="P37" s="4">
        <f>ROUND(N37*O37/100,2)</f>
        <v/>
      </c>
      <c r="Q37" s="4">
        <f>N37+P37</f>
        <v/>
      </c>
      <c r="R37" s="4">
        <f>F37+N37-L37</f>
        <v/>
      </c>
      <c r="S37" s="4">
        <f>H37+K37+P37</f>
        <v/>
      </c>
      <c r="T37" s="20" t="n">
        <v>2025</v>
      </c>
      <c r="U37" s="8" t="inlineStr">
        <is>
          <t>mensal</t>
        </is>
      </c>
    </row>
    <row r="38">
      <c r="A38" s="8" t="inlineStr">
        <is>
          <t>09/2025</t>
        </is>
      </c>
      <c r="B38" s="4">
        <f>'Evolução RMI'!H28</f>
        <v/>
      </c>
      <c r="C38" s="9" t="n">
        <v>0</v>
      </c>
      <c r="D38" s="4">
        <f>B38-C38</f>
        <v/>
      </c>
      <c r="E38" s="17" t="n">
        <v>1</v>
      </c>
      <c r="F38" s="4">
        <f>ROUND(D38*E38,2)</f>
        <v/>
      </c>
      <c r="G38" s="10" t="n">
        <v>0</v>
      </c>
      <c r="H38" s="4">
        <f>ROUND(F38*G38/100,2)</f>
        <v/>
      </c>
      <c r="I38" s="4">
        <f>F38+H38</f>
        <v/>
      </c>
      <c r="J38" s="10" t="n">
        <v>0</v>
      </c>
      <c r="K38" s="4">
        <f>ROUND(I38*J38/100,2)</f>
        <v/>
      </c>
      <c r="L38" s="4">
        <f>I38+K38</f>
        <v/>
      </c>
      <c r="M38" s="17" t="n">
        <v>1.0490702075</v>
      </c>
      <c r="N38" s="4">
        <f>ROUND(L38*M38,2)</f>
        <v/>
      </c>
      <c r="O38" s="10" t="n">
        <v>7.2</v>
      </c>
      <c r="P38" s="4">
        <f>ROUND(N38*O38/100,2)</f>
        <v/>
      </c>
      <c r="Q38" s="4">
        <f>N38+P38</f>
        <v/>
      </c>
      <c r="R38" s="4">
        <f>F38+N38-L38</f>
        <v/>
      </c>
      <c r="S38" s="4">
        <f>H38+K38+P38</f>
        <v/>
      </c>
      <c r="T38" s="20" t="n">
        <v>2025</v>
      </c>
      <c r="U38" s="8" t="inlineStr">
        <is>
          <t>mensal</t>
        </is>
      </c>
    </row>
    <row r="39">
      <c r="A39" s="8" t="inlineStr">
        <is>
          <t>10/2025</t>
        </is>
      </c>
      <c r="B39" s="4">
        <f>'Evolução RMI'!H29</f>
        <v/>
      </c>
      <c r="C39" s="9" t="n">
        <v>0</v>
      </c>
      <c r="D39" s="4">
        <f>B39-C39</f>
        <v/>
      </c>
      <c r="E39" s="17" t="n">
        <v>1</v>
      </c>
      <c r="F39" s="4">
        <f>ROUND(D39*E39,2)</f>
        <v/>
      </c>
      <c r="G39" s="10" t="n">
        <v>0</v>
      </c>
      <c r="H39" s="4">
        <f>ROUND(F39*G39/100,2)</f>
        <v/>
      </c>
      <c r="I39" s="4">
        <f>F39+H39</f>
        <v/>
      </c>
      <c r="J39" s="10" t="n">
        <v>0</v>
      </c>
      <c r="K39" s="4">
        <f>ROUND(I39*J39/100,2)</f>
        <v/>
      </c>
      <c r="L39" s="4">
        <f>I39+K39</f>
        <v/>
      </c>
      <c r="M39" s="17" t="n">
        <v>1.044890645</v>
      </c>
      <c r="N39" s="4">
        <f>ROUND(L39*M39,2)</f>
        <v/>
      </c>
      <c r="O39" s="10" t="n">
        <v>6.6</v>
      </c>
      <c r="P39" s="4">
        <f>ROUND(N39*O39/100,2)</f>
        <v/>
      </c>
      <c r="Q39" s="4">
        <f>N39+P39</f>
        <v/>
      </c>
      <c r="R39" s="4">
        <f>F39+N39-L39</f>
        <v/>
      </c>
      <c r="S39" s="4">
        <f>H39+K39+P39</f>
        <v/>
      </c>
      <c r="T39" s="20" t="n">
        <v>2025</v>
      </c>
      <c r="U39" s="8" t="inlineStr">
        <is>
          <t>mensal</t>
        </is>
      </c>
    </row>
    <row r="40">
      <c r="A40" s="8" t="inlineStr">
        <is>
          <t>11/2025</t>
        </is>
      </c>
      <c r="B40" s="4">
        <f>'Evolução RMI'!H30</f>
        <v/>
      </c>
      <c r="C40" s="9" t="n">
        <v>0</v>
      </c>
      <c r="D40" s="4">
        <f>B40-C40</f>
        <v/>
      </c>
      <c r="E40" s="17" t="n">
        <v>1</v>
      </c>
      <c r="F40" s="4">
        <f>ROUND(D40*E40,2)</f>
        <v/>
      </c>
      <c r="G40" s="10" t="n">
        <v>0</v>
      </c>
      <c r="H40" s="4">
        <f>ROUND(F40*G40/100,2)</f>
        <v/>
      </c>
      <c r="I40" s="4">
        <f>F40+H40</f>
        <v/>
      </c>
      <c r="J40" s="10" t="n">
        <v>0</v>
      </c>
      <c r="K40" s="4">
        <f>ROUND(I40*J40/100,2)</f>
        <v/>
      </c>
      <c r="L40" s="4">
        <f>I40+K40</f>
        <v/>
      </c>
      <c r="M40" s="17" t="n">
        <v>1.040727734</v>
      </c>
      <c r="N40" s="4">
        <f>ROUND(L40*M40,2)</f>
        <v/>
      </c>
      <c r="O40" s="10" t="n">
        <v>6</v>
      </c>
      <c r="P40" s="4">
        <f>ROUND(N40*O40/100,2)</f>
        <v/>
      </c>
      <c r="Q40" s="4">
        <f>N40+P40</f>
        <v/>
      </c>
      <c r="R40" s="4">
        <f>F40+N40-L40</f>
        <v/>
      </c>
      <c r="S40" s="4">
        <f>H40+K40+P40</f>
        <v/>
      </c>
      <c r="T40" s="20" t="n">
        <v>2025</v>
      </c>
      <c r="U40" s="8" t="inlineStr">
        <is>
          <t>mensal</t>
        </is>
      </c>
    </row>
    <row r="41">
      <c r="A41" s="8" t="inlineStr">
        <is>
          <t>12/2025</t>
        </is>
      </c>
      <c r="B41" s="4">
        <f>'Evolução RMI'!H31</f>
        <v/>
      </c>
      <c r="C41" s="9" t="n">
        <v>0</v>
      </c>
      <c r="D41" s="4">
        <f>B41-C41</f>
        <v/>
      </c>
      <c r="E41" s="17" t="n">
        <v>1</v>
      </c>
      <c r="F41" s="4">
        <f>ROUND(D41*E41,2)</f>
        <v/>
      </c>
      <c r="G41" s="10" t="n">
        <v>0</v>
      </c>
      <c r="H41" s="4">
        <f>ROUND(F41*G41/100,2)</f>
        <v/>
      </c>
      <c r="I41" s="4">
        <f>F41+H41</f>
        <v/>
      </c>
      <c r="J41" s="10" t="n">
        <v>0</v>
      </c>
      <c r="K41" s="4">
        <f>ROUND(I41*J41/100,2)</f>
        <v/>
      </c>
      <c r="L41" s="4">
        <f>I41+K41</f>
        <v/>
      </c>
      <c r="M41" s="17" t="n">
        <v>1.0365814084</v>
      </c>
      <c r="N41" s="4">
        <f>ROUND(L41*M41,2)</f>
        <v/>
      </c>
      <c r="O41" s="10" t="n">
        <v>5.4</v>
      </c>
      <c r="P41" s="4">
        <f>ROUND(N41*O41/100,2)</f>
        <v/>
      </c>
      <c r="Q41" s="4">
        <f>N41+P41</f>
        <v/>
      </c>
      <c r="R41" s="4">
        <f>F41+N41-L41</f>
        <v/>
      </c>
      <c r="S41" s="4">
        <f>H41+K41+P41</f>
        <v/>
      </c>
      <c r="T41" s="20" t="n">
        <v>2025</v>
      </c>
      <c r="U41" s="8" t="inlineStr">
        <is>
          <t>mensal</t>
        </is>
      </c>
    </row>
    <row r="42">
      <c r="A42" s="8" t="inlineStr">
        <is>
          <t>01/2026</t>
        </is>
      </c>
      <c r="B42" s="4">
        <f>'Evolução RMI'!H32</f>
        <v/>
      </c>
      <c r="C42" s="9" t="n">
        <v>0</v>
      </c>
      <c r="D42" s="4">
        <f>B42-C42</f>
        <v/>
      </c>
      <c r="E42" s="17" t="n">
        <v>1</v>
      </c>
      <c r="F42" s="4">
        <f>ROUND(D42*E42,2)</f>
        <v/>
      </c>
      <c r="G42" s="10" t="n">
        <v>0</v>
      </c>
      <c r="H42" s="4">
        <f>ROUND(F42*G42/100,2)</f>
        <v/>
      </c>
      <c r="I42" s="4">
        <f>F42+H42</f>
        <v/>
      </c>
      <c r="J42" s="10" t="n">
        <v>0</v>
      </c>
      <c r="K42" s="4">
        <f>ROUND(I42*J42/100,2)</f>
        <v/>
      </c>
      <c r="L42" s="4">
        <f>I42+K42</f>
        <v/>
      </c>
      <c r="M42" s="17" t="n">
        <v>1.032451602</v>
      </c>
      <c r="N42" s="4">
        <f>ROUND(L42*M42,2)</f>
        <v/>
      </c>
      <c r="O42" s="10" t="n">
        <v>4.8</v>
      </c>
      <c r="P42" s="4">
        <f>ROUND(N42*O42/100,2)</f>
        <v/>
      </c>
      <c r="Q42" s="4">
        <f>N42+P42</f>
        <v/>
      </c>
      <c r="R42" s="4">
        <f>F42+N42-L42</f>
        <v/>
      </c>
      <c r="S42" s="4">
        <f>H42+K42+P42</f>
        <v/>
      </c>
      <c r="T42" s="20" t="n">
        <v>2026</v>
      </c>
      <c r="U42" s="8" t="inlineStr">
        <is>
          <t>mensal</t>
        </is>
      </c>
    </row>
    <row r="43">
      <c r="A43" s="8" t="inlineStr">
        <is>
          <t>02/2026</t>
        </is>
      </c>
      <c r="B43" s="4">
        <f>'Evolução RMI'!H33</f>
        <v/>
      </c>
      <c r="C43" s="9" t="n">
        <v>0</v>
      </c>
      <c r="D43" s="4">
        <f>B43-C43</f>
        <v/>
      </c>
      <c r="E43" s="17" t="n">
        <v>1</v>
      </c>
      <c r="F43" s="4">
        <f>ROUND(D43*E43,2)</f>
        <v/>
      </c>
      <c r="G43" s="10" t="n">
        <v>0</v>
      </c>
      <c r="H43" s="4">
        <f>ROUND(F43*G43/100,2)</f>
        <v/>
      </c>
      <c r="I43" s="4">
        <f>F43+H43</f>
        <v/>
      </c>
      <c r="J43" s="10" t="n">
        <v>0</v>
      </c>
      <c r="K43" s="4">
        <f>ROUND(I43*J43/100,2)</f>
        <v/>
      </c>
      <c r="L43" s="4">
        <f>I43+K43</f>
        <v/>
      </c>
      <c r="M43" s="17" t="n">
        <v>1.028338249</v>
      </c>
      <c r="N43" s="4">
        <f>ROUND(L43*M43,2)</f>
        <v/>
      </c>
      <c r="O43" s="10" t="n">
        <v>4.2</v>
      </c>
      <c r="P43" s="4">
        <f>ROUND(N43*O43/100,2)</f>
        <v/>
      </c>
      <c r="Q43" s="4">
        <f>N43+P43</f>
        <v/>
      </c>
      <c r="R43" s="4">
        <f>F43+N43-L43</f>
        <v/>
      </c>
      <c r="S43" s="4">
        <f>H43+K43+P43</f>
        <v/>
      </c>
      <c r="T43" s="20" t="n">
        <v>2026</v>
      </c>
      <c r="U43" s="8" t="inlineStr">
        <is>
          <t>mensal</t>
        </is>
      </c>
    </row>
    <row r="44">
      <c r="A44" s="8" t="inlineStr">
        <is>
          <t>03/2026</t>
        </is>
      </c>
      <c r="B44" s="4">
        <f>'Evolução RMI'!H34</f>
        <v/>
      </c>
      <c r="C44" s="9" t="n">
        <v>0</v>
      </c>
      <c r="D44" s="4">
        <f>B44-C44</f>
        <v/>
      </c>
      <c r="E44" s="17" t="n">
        <v>1</v>
      </c>
      <c r="F44" s="4">
        <f>ROUND(D44*E44,2)</f>
        <v/>
      </c>
      <c r="G44" s="10" t="n">
        <v>0</v>
      </c>
      <c r="H44" s="4">
        <f>ROUND(F44*G44/100,2)</f>
        <v/>
      </c>
      <c r="I44" s="4">
        <f>F44+H44</f>
        <v/>
      </c>
      <c r="J44" s="10" t="n">
        <v>0</v>
      </c>
      <c r="K44" s="4">
        <f>ROUND(I44*J44/100,2)</f>
        <v/>
      </c>
      <c r="L44" s="4">
        <f>I44+K44</f>
        <v/>
      </c>
      <c r="M44" s="17" t="n">
        <v>1.0242412838</v>
      </c>
      <c r="N44" s="4">
        <f>ROUND(L44*M44,2)</f>
        <v/>
      </c>
      <c r="O44" s="10" t="n">
        <v>3.6</v>
      </c>
      <c r="P44" s="4">
        <f>ROUND(N44*O44/100,2)</f>
        <v/>
      </c>
      <c r="Q44" s="4">
        <f>N44+P44</f>
        <v/>
      </c>
      <c r="R44" s="4">
        <f>F44+N44-L44</f>
        <v/>
      </c>
      <c r="S44" s="4">
        <f>H44+K44+P44</f>
        <v/>
      </c>
      <c r="T44" s="20" t="n">
        <v>2026</v>
      </c>
      <c r="U44" s="8" t="inlineStr">
        <is>
          <t>mensal</t>
        </is>
      </c>
    </row>
    <row r="45">
      <c r="A45" s="8" t="inlineStr">
        <is>
          <t>04/2026</t>
        </is>
      </c>
      <c r="B45" s="4">
        <f>'Evolução RMI'!H35</f>
        <v/>
      </c>
      <c r="C45" s="9" t="n">
        <v>0</v>
      </c>
      <c r="D45" s="4">
        <f>B45-C45</f>
        <v/>
      </c>
      <c r="E45" s="17" t="n">
        <v>1</v>
      </c>
      <c r="F45" s="4">
        <f>ROUND(D45*E45,2)</f>
        <v/>
      </c>
      <c r="G45" s="10" t="n">
        <v>0</v>
      </c>
      <c r="H45" s="4">
        <f>ROUND(F45*G45/100,2)</f>
        <v/>
      </c>
      <c r="I45" s="4">
        <f>F45+H45</f>
        <v/>
      </c>
      <c r="J45" s="10" t="n">
        <v>0</v>
      </c>
      <c r="K45" s="4">
        <f>ROUND(I45*J45/100,2)</f>
        <v/>
      </c>
      <c r="L45" s="4">
        <f>I45+K45</f>
        <v/>
      </c>
      <c r="M45" s="17" t="n">
        <v>1.0201606413</v>
      </c>
      <c r="N45" s="4">
        <f>ROUND(L45*M45,2)</f>
        <v/>
      </c>
      <c r="O45" s="10" t="n">
        <v>3</v>
      </c>
      <c r="P45" s="4">
        <f>ROUND(N45*O45/100,2)</f>
        <v/>
      </c>
      <c r="Q45" s="4">
        <f>N45+P45</f>
        <v/>
      </c>
      <c r="R45" s="4">
        <f>F45+N45-L45</f>
        <v/>
      </c>
      <c r="S45" s="4">
        <f>H45+K45+P45</f>
        <v/>
      </c>
      <c r="T45" s="20" t="n">
        <v>2026</v>
      </c>
      <c r="U45" s="8" t="inlineStr">
        <is>
          <t>mensal</t>
        </is>
      </c>
    </row>
    <row r="46">
      <c r="A46" s="8" t="inlineStr">
        <is>
          <t>13º</t>
        </is>
      </c>
      <c r="B46" s="4">
        <f>TRUNC('Evolução RMI'!F35/2,2)</f>
        <v/>
      </c>
      <c r="C46" s="9" t="n">
        <v>0</v>
      </c>
      <c r="D46" s="4">
        <f>B46-C46</f>
        <v/>
      </c>
      <c r="E46" s="17" t="n">
        <v>1</v>
      </c>
      <c r="F46" s="4">
        <f>ROUND(D46*E46,2)</f>
        <v/>
      </c>
      <c r="G46" s="10" t="n">
        <v>0</v>
      </c>
      <c r="H46" s="4">
        <f>ROUND(F46*G46/100,2)</f>
        <v/>
      </c>
      <c r="I46" s="4">
        <f>F46+H46</f>
        <v/>
      </c>
      <c r="J46" s="10" t="n">
        <v>0</v>
      </c>
      <c r="K46" s="4">
        <f>ROUND(I46*J46/100,2)</f>
        <v/>
      </c>
      <c r="L46" s="4">
        <f>I46+K46</f>
        <v/>
      </c>
      <c r="M46" s="17" t="n">
        <v>1.0201606413</v>
      </c>
      <c r="N46" s="4">
        <f>ROUND(L46*M46,2)</f>
        <v/>
      </c>
      <c r="O46" s="10" t="n">
        <v>3</v>
      </c>
      <c r="P46" s="4">
        <f>ROUND(N46*O46/100,2)</f>
        <v/>
      </c>
      <c r="Q46" s="4">
        <f>N46+P46</f>
        <v/>
      </c>
      <c r="R46" s="4">
        <f>F46+N46-L46</f>
        <v/>
      </c>
      <c r="S46" s="4">
        <f>H46+K46+P46</f>
        <v/>
      </c>
      <c r="T46" s="20" t="n">
        <v>2026</v>
      </c>
      <c r="U46" s="8" t="inlineStr">
        <is>
          <t>13º</t>
        </is>
      </c>
    </row>
    <row r="47">
      <c r="A47" s="8" t="inlineStr">
        <is>
          <t>05/2026</t>
        </is>
      </c>
      <c r="B47" s="4">
        <f>'Evolução RMI'!H36</f>
        <v/>
      </c>
      <c r="C47" s="9" t="n">
        <v>0</v>
      </c>
      <c r="D47" s="4">
        <f>B47-C47</f>
        <v/>
      </c>
      <c r="E47" s="17" t="n">
        <v>1</v>
      </c>
      <c r="F47" s="4">
        <f>ROUND(D47*E47,2)</f>
        <v/>
      </c>
      <c r="G47" s="10" t="n">
        <v>0</v>
      </c>
      <c r="H47" s="4">
        <f>ROUND(F47*G47/100,2)</f>
        <v/>
      </c>
      <c r="I47" s="4">
        <f>F47+H47</f>
        <v/>
      </c>
      <c r="J47" s="10" t="n">
        <v>0</v>
      </c>
      <c r="K47" s="4">
        <f>ROUND(I47*J47/100,2)</f>
        <v/>
      </c>
      <c r="L47" s="4">
        <f>I47+K47</f>
        <v/>
      </c>
      <c r="M47" s="17" t="n">
        <v>1.0160962563</v>
      </c>
      <c r="N47" s="4">
        <f>ROUND(L47*M47,2)</f>
        <v/>
      </c>
      <c r="O47" s="10" t="n">
        <v>2.4</v>
      </c>
      <c r="P47" s="4">
        <f>ROUND(N47*O47/100,2)</f>
        <v/>
      </c>
      <c r="Q47" s="4">
        <f>N47+P47</f>
        <v/>
      </c>
      <c r="R47" s="4">
        <f>F47+N47-L47</f>
        <v/>
      </c>
      <c r="S47" s="4">
        <f>H47+K47+P47</f>
        <v/>
      </c>
      <c r="T47" s="20" t="n">
        <v>2026</v>
      </c>
      <c r="U47" s="8" t="inlineStr">
        <is>
          <t>mensal</t>
        </is>
      </c>
    </row>
    <row r="48">
      <c r="A48" s="8" t="inlineStr">
        <is>
          <t>13º</t>
        </is>
      </c>
      <c r="B48" s="4">
        <f>TRUNC('Evolução RMI'!F36*8/12-'Evolução RMI'!F35/2,2)</f>
        <v/>
      </c>
      <c r="C48" s="9" t="n">
        <v>0</v>
      </c>
      <c r="D48" s="4">
        <f>B48-C48</f>
        <v/>
      </c>
      <c r="E48" s="17" t="n">
        <v>1</v>
      </c>
      <c r="F48" s="4">
        <f>ROUND(D48*E48,2)</f>
        <v/>
      </c>
      <c r="G48" s="10" t="n">
        <v>0</v>
      </c>
      <c r="H48" s="4">
        <f>ROUND(F48*G48/100,2)</f>
        <v/>
      </c>
      <c r="I48" s="4">
        <f>F48+H48</f>
        <v/>
      </c>
      <c r="J48" s="10" t="n">
        <v>0</v>
      </c>
      <c r="K48" s="4">
        <f>ROUND(I48*J48/100,2)</f>
        <v/>
      </c>
      <c r="L48" s="4">
        <f>I48+K48</f>
        <v/>
      </c>
      <c r="M48" s="17" t="n">
        <v>1.0160962563</v>
      </c>
      <c r="N48" s="4">
        <f>ROUND(L48*M48,2)</f>
        <v/>
      </c>
      <c r="O48" s="10" t="n">
        <v>2.4</v>
      </c>
      <c r="P48" s="4">
        <f>ROUND(N48*O48/100,2)</f>
        <v/>
      </c>
      <c r="Q48" s="4">
        <f>N48+P48</f>
        <v/>
      </c>
      <c r="R48" s="4">
        <f>F48+N48-L48</f>
        <v/>
      </c>
      <c r="S48" s="4">
        <f>H48+K48+P48</f>
        <v/>
      </c>
      <c r="T48" s="20" t="n">
        <v>2026</v>
      </c>
      <c r="U48" s="8" t="inlineStr">
        <is>
          <t>13º</t>
        </is>
      </c>
    </row>
    <row r="49">
      <c r="A49" s="8" t="inlineStr">
        <is>
          <t>06/2026</t>
        </is>
      </c>
      <c r="B49" s="4">
        <f>'Evolução RMI'!H37</f>
        <v/>
      </c>
      <c r="C49" s="9" t="n">
        <v>0</v>
      </c>
      <c r="D49" s="4">
        <f>B49-C49</f>
        <v/>
      </c>
      <c r="E49" s="17" t="n">
        <v>1</v>
      </c>
      <c r="F49" s="4">
        <f>ROUND(D49*E49,2)</f>
        <v/>
      </c>
      <c r="G49" s="10" t="n">
        <v>0</v>
      </c>
      <c r="H49" s="4">
        <f>ROUND(F49*G49/100,2)</f>
        <v/>
      </c>
      <c r="I49" s="4">
        <f>F49+H49</f>
        <v/>
      </c>
      <c r="J49" s="10" t="n">
        <v>0</v>
      </c>
      <c r="K49" s="4">
        <f>ROUND(I49*J49/100,2)</f>
        <v/>
      </c>
      <c r="L49" s="4">
        <f>I49+K49</f>
        <v/>
      </c>
      <c r="M49" s="17" t="n">
        <v>1.012048064</v>
      </c>
      <c r="N49" s="4">
        <f>ROUND(L49*M49,2)</f>
        <v/>
      </c>
      <c r="O49" s="10" t="n">
        <v>1.8</v>
      </c>
      <c r="P49" s="4">
        <f>ROUND(N49*O49/100,2)</f>
        <v/>
      </c>
      <c r="Q49" s="4">
        <f>N49+P49</f>
        <v/>
      </c>
      <c r="R49" s="4">
        <f>F49+N49-L49</f>
        <v/>
      </c>
      <c r="S49" s="4">
        <f>H49+K49+P49</f>
        <v/>
      </c>
      <c r="T49" s="20" t="n">
        <v>2026</v>
      </c>
      <c r="U49" s="8" t="inlineStr">
        <is>
          <t>mensal</t>
        </is>
      </c>
    </row>
    <row r="50">
      <c r="A50" s="8" t="inlineStr">
        <is>
          <t>07/2026</t>
        </is>
      </c>
      <c r="B50" s="4">
        <f>'Evolução RMI'!H38</f>
        <v/>
      </c>
      <c r="C50" s="9" t="n">
        <v>0</v>
      </c>
      <c r="D50" s="4">
        <f>B50-C50</f>
        <v/>
      </c>
      <c r="E50" s="17" t="n">
        <v>1</v>
      </c>
      <c r="F50" s="4">
        <f>ROUND(D50*E50,2)</f>
        <v/>
      </c>
      <c r="G50" s="10" t="n">
        <v>0</v>
      </c>
      <c r="H50" s="4">
        <f>ROUND(F50*G50/100,2)</f>
        <v/>
      </c>
      <c r="I50" s="4">
        <f>F50+H50</f>
        <v/>
      </c>
      <c r="J50" s="10" t="n">
        <v>0</v>
      </c>
      <c r="K50" s="4">
        <f>ROUND(I50*J50/100,2)</f>
        <v/>
      </c>
      <c r="L50" s="4">
        <f>I50+K50</f>
        <v/>
      </c>
      <c r="M50" s="17" t="n">
        <v>1.008016</v>
      </c>
      <c r="N50" s="4">
        <f>ROUND(L50*M50,2)</f>
        <v/>
      </c>
      <c r="O50" s="10" t="n">
        <v>1.2</v>
      </c>
      <c r="P50" s="4">
        <f>ROUND(N50*O50/100,2)</f>
        <v/>
      </c>
      <c r="Q50" s="4">
        <f>N50+P50</f>
        <v/>
      </c>
      <c r="R50" s="4">
        <f>F50+N50-L50</f>
        <v/>
      </c>
      <c r="S50" s="4">
        <f>H50+K50+P50</f>
        <v/>
      </c>
      <c r="T50" s="20" t="n">
        <v>2026</v>
      </c>
      <c r="U50" s="8" t="inlineStr">
        <is>
          <t>mensal</t>
        </is>
      </c>
    </row>
    <row r="51">
      <c r="A51" s="8" t="inlineStr">
        <is>
          <t>08/2026</t>
        </is>
      </c>
      <c r="B51" s="4">
        <f>'Evolução RMI'!H39</f>
        <v/>
      </c>
      <c r="C51" s="9" t="n">
        <v>0</v>
      </c>
      <c r="D51" s="4">
        <f>B51-C51</f>
        <v/>
      </c>
      <c r="E51" s="17" t="n">
        <v>1</v>
      </c>
      <c r="F51" s="4">
        <f>ROUND(D51*E51,2)</f>
        <v/>
      </c>
      <c r="G51" s="10" t="n">
        <v>0</v>
      </c>
      <c r="H51" s="4">
        <f>ROUND(F51*G51/100,2)</f>
        <v/>
      </c>
      <c r="I51" s="4">
        <f>F51+H51</f>
        <v/>
      </c>
      <c r="J51" s="10" t="n">
        <v>0</v>
      </c>
      <c r="K51" s="4">
        <f>ROUND(I51*J51/100,2)</f>
        <v/>
      </c>
      <c r="L51" s="4">
        <f>I51+K51</f>
        <v/>
      </c>
      <c r="M51" s="17" t="n">
        <v>1.004</v>
      </c>
      <c r="N51" s="4">
        <f>ROUND(L51*M51,2)</f>
        <v/>
      </c>
      <c r="O51" s="10" t="n">
        <v>0.6</v>
      </c>
      <c r="P51" s="4">
        <f>ROUND(N51*O51/100,2)</f>
        <v/>
      </c>
      <c r="Q51" s="4">
        <f>N51+P51</f>
        <v/>
      </c>
      <c r="R51" s="4">
        <f>F51+N51-L51</f>
        <v/>
      </c>
      <c r="S51" s="4">
        <f>H51+K51+P51</f>
        <v/>
      </c>
      <c r="T51" s="20" t="n">
        <v>2026</v>
      </c>
      <c r="U51" s="8" t="inlineStr">
        <is>
          <t>mensal</t>
        </is>
      </c>
    </row>
    <row r="52">
      <c r="A52" s="2" t="inlineStr">
        <is>
          <t>Totais:</t>
        </is>
      </c>
      <c r="B52" s="5">
        <f>SUM(B16:B51)</f>
        <v/>
      </c>
      <c r="C52" s="5">
        <f>SUM(C16:C51)</f>
        <v/>
      </c>
      <c r="D52" s="5">
        <f>SUM(D16:D51)</f>
        <v/>
      </c>
      <c r="F52" s="5">
        <f>SUM(F16:F51)</f>
        <v/>
      </c>
      <c r="H52" s="5">
        <f>SUM(H16:H51)</f>
        <v/>
      </c>
      <c r="I52" s="5">
        <f>SUM(I16:I51)</f>
        <v/>
      </c>
      <c r="K52" s="5">
        <f>SUM(K16:K51)</f>
        <v/>
      </c>
      <c r="L52" s="5">
        <f>SUM(L16:L51)</f>
        <v/>
      </c>
      <c r="N52" s="5">
        <f>SUM(N16:N51)</f>
        <v/>
      </c>
      <c r="P52" s="5">
        <f>SUM(P16:P51)</f>
        <v/>
      </c>
      <c r="Q52" s="5">
        <f>SUM(Q16:Q51)</f>
        <v/>
      </c>
      <c r="R52" s="5">
        <f>SUM(R16:R51)</f>
        <v/>
      </c>
      <c r="S52" s="5">
        <f>SUM(S16:S51)</f>
        <v/>
      </c>
    </row>
    <row r="54">
      <c r="A54" s="2" t="inlineStr">
        <is>
          <t>R.M.A.:</t>
        </is>
      </c>
      <c r="B54" s="4">
        <f>'Evolução RMI'!F40</f>
        <v/>
      </c>
    </row>
    <row r="55">
      <c r="A55" t="inlineStr">
        <is>
          <t>Nº de meses com diferenças: 30</t>
        </is>
      </c>
    </row>
    <row r="56">
      <c r="A56" s="21" t="inlineStr">
        <is>
          <t>Tabela da Justiça Federal (previdenciário): ORTN 10/1964–02/1986; OTN 03/1986–01/1989; IPC 01/1989–02/1989; BTN 03/1989–03/1990; IPC 03/1990–02/1991; INPC 03/1991–12/1992; IRSM 01/1993–02/1994; URV 03/1994–06/1994; IPC-r 07/1994–06/1995; INPC 07/1995–04/1996; IGP-DI 05/1996–08/2006; INPC a partir de 09/2006.</t>
        </is>
      </c>
    </row>
    <row r="58">
      <c r="A58" s="2" t="inlineStr">
        <is>
          <t>Cristiano da Silva Ottone  OAB/MG 152.214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Cálculo dos Honorários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6">
      <c r="A6" s="2" t="inlineStr">
        <is>
          <t>Início do Benefício (DIB):</t>
        </is>
      </c>
      <c r="B6" t="inlineStr">
        <is>
          <t>01/03/2024</t>
        </is>
      </c>
      <c r="D6" s="2" t="inlineStr">
        <is>
          <t>Data da Atualização:</t>
        </is>
      </c>
      <c r="E6" t="inlineStr">
        <is>
          <t>15/09/2026</t>
        </is>
      </c>
    </row>
    <row r="7">
      <c r="A7" s="2" t="inlineStr">
        <is>
          <t>Ajuizamento:</t>
        </is>
      </c>
      <c r="B7" t="inlineStr">
        <is>
          <t>10/06/2024</t>
        </is>
      </c>
      <c r="D7" s="2" t="inlineStr">
        <is>
          <t>Data da Prescrição:</t>
        </is>
      </c>
      <c r="E7" t="inlineStr">
        <is>
          <t>01/03/2024</t>
        </is>
      </c>
    </row>
    <row r="9">
      <c r="A9" s="2" t="inlineStr">
        <is>
          <t>Honorários de</t>
        </is>
      </c>
      <c r="B9" s="18">
        <f>'Parâmetros'!$B$21</f>
        <v/>
      </c>
      <c r="C9" t="inlineStr">
        <is>
          <t>% sobre a base de cálculo atualizada e sobre os juros.</t>
        </is>
      </c>
    </row>
    <row r="11" ht="32" customHeight="1">
      <c r="A11" s="11" t="inlineStr">
        <is>
          <t>Data</t>
        </is>
      </c>
      <c r="B11" s="11" t="inlineStr">
        <is>
          <t>Base de Cálculo</t>
        </is>
      </c>
      <c r="C11" s="11" t="inlineStr">
        <is>
          <t>Base de Cálculo Atualizada</t>
        </is>
      </c>
      <c r="D11" s="11" t="inlineStr">
        <is>
          <t>Juros Sobre a Base de Cálculo</t>
        </is>
      </c>
      <c r="E11" s="11" t="inlineStr">
        <is>
          <t>Base Atualizada + Juros</t>
        </is>
      </c>
      <c r="F11" s="11" t="inlineStr">
        <is>
          <t>Valor Calculado</t>
        </is>
      </c>
    </row>
    <row r="12">
      <c r="A12" s="8" t="inlineStr">
        <is>
          <t>03/2024</t>
        </is>
      </c>
      <c r="B12" s="4">
        <f>'Diferenças'!D16</f>
        <v/>
      </c>
      <c r="C12" s="4">
        <f>'Diferenças'!R16</f>
        <v/>
      </c>
      <c r="D12" s="4">
        <f>'Diferenças'!S16</f>
        <v/>
      </c>
      <c r="E12" s="4">
        <f>C12+D12</f>
        <v/>
      </c>
      <c r="F12" s="4">
        <f>ROUND(E12*'Parâmetros'!$B$21/100,2)</f>
        <v/>
      </c>
    </row>
    <row r="13">
      <c r="A13" s="8" t="inlineStr">
        <is>
          <t>04/2024</t>
        </is>
      </c>
      <c r="B13" s="4">
        <f>'Diferenças'!D17</f>
        <v/>
      </c>
      <c r="C13" s="4">
        <f>'Diferenças'!R17</f>
        <v/>
      </c>
      <c r="D13" s="4">
        <f>'Diferenças'!S17</f>
        <v/>
      </c>
      <c r="E13" s="4">
        <f>C13+D13</f>
        <v/>
      </c>
      <c r="F13" s="4">
        <f>ROUND(E13*'Parâmetros'!$B$21/100,2)</f>
        <v/>
      </c>
    </row>
    <row r="14">
      <c r="A14" s="8" t="inlineStr">
        <is>
          <t>13º</t>
        </is>
      </c>
      <c r="B14" s="4">
        <f>'Diferenças'!D18</f>
        <v/>
      </c>
      <c r="C14" s="4">
        <f>'Diferenças'!R18</f>
        <v/>
      </c>
      <c r="D14" s="4">
        <f>'Diferenças'!S18</f>
        <v/>
      </c>
      <c r="E14" s="4">
        <f>C14+D14</f>
        <v/>
      </c>
      <c r="F14" s="4">
        <f>ROUND(E14*'Parâmetros'!$B$21/100,2)</f>
        <v/>
      </c>
    </row>
    <row r="15">
      <c r="A15" s="8" t="inlineStr">
        <is>
          <t>05/2024</t>
        </is>
      </c>
      <c r="B15" s="4">
        <f>'Diferenças'!D19</f>
        <v/>
      </c>
      <c r="C15" s="4">
        <f>'Diferenças'!R19</f>
        <v/>
      </c>
      <c r="D15" s="4">
        <f>'Diferenças'!S19</f>
        <v/>
      </c>
      <c r="E15" s="4">
        <f>C15+D15</f>
        <v/>
      </c>
      <c r="F15" s="4">
        <f>ROUND(E15*'Parâmetros'!$B$21/100,2)</f>
        <v/>
      </c>
    </row>
    <row r="16">
      <c r="A16" s="8" t="inlineStr">
        <is>
          <t>13º</t>
        </is>
      </c>
      <c r="B16" s="4">
        <f>'Diferenças'!D20</f>
        <v/>
      </c>
      <c r="C16" s="4">
        <f>'Diferenças'!R20</f>
        <v/>
      </c>
      <c r="D16" s="4">
        <f>'Diferenças'!S20</f>
        <v/>
      </c>
      <c r="E16" s="4">
        <f>C16+D16</f>
        <v/>
      </c>
      <c r="F16" s="4">
        <f>ROUND(E16*'Parâmetros'!$B$21/100,2)</f>
        <v/>
      </c>
    </row>
    <row r="17">
      <c r="A17" s="8" t="inlineStr">
        <is>
          <t>06/2024</t>
        </is>
      </c>
      <c r="B17" s="4">
        <f>'Diferenças'!D21</f>
        <v/>
      </c>
      <c r="C17" s="4">
        <f>'Diferenças'!R21</f>
        <v/>
      </c>
      <c r="D17" s="4">
        <f>'Diferenças'!S21</f>
        <v/>
      </c>
      <c r="E17" s="4">
        <f>C17+D17</f>
        <v/>
      </c>
      <c r="F17" s="4">
        <f>ROUND(E17*'Parâmetros'!$B$21/100,2)</f>
        <v/>
      </c>
    </row>
    <row r="18">
      <c r="A18" s="8" t="inlineStr">
        <is>
          <t>07/2024</t>
        </is>
      </c>
      <c r="B18" s="4">
        <f>'Diferenças'!D22</f>
        <v/>
      </c>
      <c r="C18" s="4">
        <f>'Diferenças'!R22</f>
        <v/>
      </c>
      <c r="D18" s="4">
        <f>'Diferenças'!S22</f>
        <v/>
      </c>
      <c r="E18" s="4">
        <f>C18+D18</f>
        <v/>
      </c>
      <c r="F18" s="4">
        <f>ROUND(E18*'Parâmetros'!$B$21/100,2)</f>
        <v/>
      </c>
    </row>
    <row r="19">
      <c r="A19" s="8" t="inlineStr">
        <is>
          <t>08/2024</t>
        </is>
      </c>
      <c r="B19" s="4">
        <f>'Diferenças'!D23</f>
        <v/>
      </c>
      <c r="C19" s="4">
        <f>'Diferenças'!R23</f>
        <v/>
      </c>
      <c r="D19" s="4">
        <f>'Diferenças'!S23</f>
        <v/>
      </c>
      <c r="E19" s="4">
        <f>C19+D19</f>
        <v/>
      </c>
      <c r="F19" s="4">
        <f>ROUND(E19*'Parâmetros'!$B$21/100,2)</f>
        <v/>
      </c>
    </row>
    <row r="20">
      <c r="A20" s="8" t="inlineStr">
        <is>
          <t>09/2024</t>
        </is>
      </c>
      <c r="B20" s="4">
        <f>'Diferenças'!D24</f>
        <v/>
      </c>
      <c r="C20" s="4">
        <f>'Diferenças'!R24</f>
        <v/>
      </c>
      <c r="D20" s="4">
        <f>'Diferenças'!S24</f>
        <v/>
      </c>
      <c r="E20" s="4">
        <f>C20+D20</f>
        <v/>
      </c>
      <c r="F20" s="4">
        <f>ROUND(E20*'Parâmetros'!$B$21/100,2)</f>
        <v/>
      </c>
    </row>
    <row r="21">
      <c r="A21" s="8" t="inlineStr">
        <is>
          <t>10/2024</t>
        </is>
      </c>
      <c r="B21" s="4">
        <f>'Diferenças'!D25</f>
        <v/>
      </c>
      <c r="C21" s="4">
        <f>'Diferenças'!R25</f>
        <v/>
      </c>
      <c r="D21" s="4">
        <f>'Diferenças'!S25</f>
        <v/>
      </c>
      <c r="E21" s="4">
        <f>C21+D21</f>
        <v/>
      </c>
      <c r="F21" s="4">
        <f>ROUND(E21*'Parâmetros'!$B$21/100,2)</f>
        <v/>
      </c>
    </row>
    <row r="22">
      <c r="A22" s="8" t="inlineStr">
        <is>
          <t>11/2024</t>
        </is>
      </c>
      <c r="B22" s="4">
        <f>'Diferenças'!D26</f>
        <v/>
      </c>
      <c r="C22" s="4">
        <f>'Diferenças'!R26</f>
        <v/>
      </c>
      <c r="D22" s="4">
        <f>'Diferenças'!S26</f>
        <v/>
      </c>
      <c r="E22" s="4">
        <f>C22+D22</f>
        <v/>
      </c>
      <c r="F22" s="4">
        <f>ROUND(E22*'Parâmetros'!$B$21/100,2)</f>
        <v/>
      </c>
    </row>
    <row r="23">
      <c r="A23" s="8" t="inlineStr">
        <is>
          <t>12/2024</t>
        </is>
      </c>
      <c r="B23" s="4">
        <f>'Diferenças'!D27</f>
        <v/>
      </c>
      <c r="C23" s="4">
        <f>'Diferenças'!R27</f>
        <v/>
      </c>
      <c r="D23" s="4">
        <f>'Diferenças'!S27</f>
        <v/>
      </c>
      <c r="E23" s="4">
        <f>C23+D23</f>
        <v/>
      </c>
      <c r="F23" s="4">
        <f>ROUND(E23*'Parâmetros'!$B$21/100,2)</f>
        <v/>
      </c>
    </row>
    <row r="24">
      <c r="A24" s="8" t="inlineStr">
        <is>
          <t>01/2025</t>
        </is>
      </c>
      <c r="B24" s="4">
        <f>'Diferenças'!D28</f>
        <v/>
      </c>
      <c r="C24" s="4">
        <f>'Diferenças'!R28</f>
        <v/>
      </c>
      <c r="D24" s="4">
        <f>'Diferenças'!S28</f>
        <v/>
      </c>
      <c r="E24" s="4">
        <f>C24+D24</f>
        <v/>
      </c>
      <c r="F24" s="4">
        <f>ROUND(E24*'Parâmetros'!$B$21/100,2)</f>
        <v/>
      </c>
    </row>
    <row r="25">
      <c r="A25" s="8" t="inlineStr">
        <is>
          <t>02/2025</t>
        </is>
      </c>
      <c r="B25" s="4">
        <f>'Diferenças'!D29</f>
        <v/>
      </c>
      <c r="C25" s="4">
        <f>'Diferenças'!R29</f>
        <v/>
      </c>
      <c r="D25" s="4">
        <f>'Diferenças'!S29</f>
        <v/>
      </c>
      <c r="E25" s="4">
        <f>C25+D25</f>
        <v/>
      </c>
      <c r="F25" s="4">
        <f>ROUND(E25*'Parâmetros'!$B$21/100,2)</f>
        <v/>
      </c>
    </row>
    <row r="26">
      <c r="A26" s="8" t="inlineStr">
        <is>
          <t>03/2025</t>
        </is>
      </c>
      <c r="B26" s="4">
        <f>'Diferenças'!D30</f>
        <v/>
      </c>
      <c r="C26" s="4">
        <f>'Diferenças'!R30</f>
        <v/>
      </c>
      <c r="D26" s="4">
        <f>'Diferenças'!S30</f>
        <v/>
      </c>
      <c r="E26" s="4">
        <f>C26+D26</f>
        <v/>
      </c>
      <c r="F26" s="4">
        <f>ROUND(E26*'Parâmetros'!$B$21/100,2)</f>
        <v/>
      </c>
    </row>
    <row r="27">
      <c r="A27" s="8" t="inlineStr">
        <is>
          <t>04/2025</t>
        </is>
      </c>
      <c r="B27" s="4">
        <f>'Diferenças'!D31</f>
        <v/>
      </c>
      <c r="C27" s="4">
        <f>'Diferenças'!R31</f>
        <v/>
      </c>
      <c r="D27" s="4">
        <f>'Diferenças'!S31</f>
        <v/>
      </c>
      <c r="E27" s="4">
        <f>C27+D27</f>
        <v/>
      </c>
      <c r="F27" s="4">
        <f>ROUND(E27*'Parâmetros'!$B$21/100,2)</f>
        <v/>
      </c>
    </row>
    <row r="28">
      <c r="A28" s="8" t="inlineStr">
        <is>
          <t>13º</t>
        </is>
      </c>
      <c r="B28" s="4">
        <f>'Diferenças'!D32</f>
        <v/>
      </c>
      <c r="C28" s="4">
        <f>'Diferenças'!R32</f>
        <v/>
      </c>
      <c r="D28" s="4">
        <f>'Diferenças'!S32</f>
        <v/>
      </c>
      <c r="E28" s="4">
        <f>C28+D28</f>
        <v/>
      </c>
      <c r="F28" s="4">
        <f>ROUND(E28*'Parâmetros'!$B$21/100,2)</f>
        <v/>
      </c>
    </row>
    <row r="29">
      <c r="A29" s="8" t="inlineStr">
        <is>
          <t>05/2025</t>
        </is>
      </c>
      <c r="B29" s="4">
        <f>'Diferenças'!D33</f>
        <v/>
      </c>
      <c r="C29" s="4">
        <f>'Diferenças'!R33</f>
        <v/>
      </c>
      <c r="D29" s="4">
        <f>'Diferenças'!S33</f>
        <v/>
      </c>
      <c r="E29" s="4">
        <f>C29+D29</f>
        <v/>
      </c>
      <c r="F29" s="4">
        <f>ROUND(E29*'Parâmetros'!$B$21/100,2)</f>
        <v/>
      </c>
    </row>
    <row r="30">
      <c r="A30" s="8" t="inlineStr">
        <is>
          <t>13º</t>
        </is>
      </c>
      <c r="B30" s="4">
        <f>'Diferenças'!D34</f>
        <v/>
      </c>
      <c r="C30" s="4">
        <f>'Diferenças'!R34</f>
        <v/>
      </c>
      <c r="D30" s="4">
        <f>'Diferenças'!S34</f>
        <v/>
      </c>
      <c r="E30" s="4">
        <f>C30+D30</f>
        <v/>
      </c>
      <c r="F30" s="4">
        <f>ROUND(E30*'Parâmetros'!$B$21/100,2)</f>
        <v/>
      </c>
    </row>
    <row r="31">
      <c r="A31" s="8" t="inlineStr">
        <is>
          <t>06/2025</t>
        </is>
      </c>
      <c r="B31" s="4">
        <f>'Diferenças'!D35</f>
        <v/>
      </c>
      <c r="C31" s="4">
        <f>'Diferenças'!R35</f>
        <v/>
      </c>
      <c r="D31" s="4">
        <f>'Diferenças'!S35</f>
        <v/>
      </c>
      <c r="E31" s="4">
        <f>C31+D31</f>
        <v/>
      </c>
      <c r="F31" s="4">
        <f>ROUND(E31*'Parâmetros'!$B$21/100,2)</f>
        <v/>
      </c>
    </row>
    <row r="32">
      <c r="A32" s="8" t="inlineStr">
        <is>
          <t>07/2025</t>
        </is>
      </c>
      <c r="B32" s="4">
        <f>'Diferenças'!D36</f>
        <v/>
      </c>
      <c r="C32" s="4">
        <f>'Diferenças'!R36</f>
        <v/>
      </c>
      <c r="D32" s="4">
        <f>'Diferenças'!S36</f>
        <v/>
      </c>
      <c r="E32" s="4">
        <f>C32+D32</f>
        <v/>
      </c>
      <c r="F32" s="4">
        <f>ROUND(E32*'Parâmetros'!$B$21/100,2)</f>
        <v/>
      </c>
    </row>
    <row r="33">
      <c r="A33" s="8" t="inlineStr">
        <is>
          <t>08/2025</t>
        </is>
      </c>
      <c r="B33" s="4">
        <f>'Diferenças'!D37</f>
        <v/>
      </c>
      <c r="C33" s="4">
        <f>'Diferenças'!R37</f>
        <v/>
      </c>
      <c r="D33" s="4">
        <f>'Diferenças'!S37</f>
        <v/>
      </c>
      <c r="E33" s="4">
        <f>C33+D33</f>
        <v/>
      </c>
      <c r="F33" s="4">
        <f>ROUND(E33*'Parâmetros'!$B$21/100,2)</f>
        <v/>
      </c>
    </row>
    <row r="34">
      <c r="A34" s="8" t="inlineStr">
        <is>
          <t>09/2025</t>
        </is>
      </c>
      <c r="B34" s="4">
        <f>'Diferenças'!D38</f>
        <v/>
      </c>
      <c r="C34" s="4">
        <f>'Diferenças'!R38</f>
        <v/>
      </c>
      <c r="D34" s="4">
        <f>'Diferenças'!S38</f>
        <v/>
      </c>
      <c r="E34" s="4">
        <f>C34+D34</f>
        <v/>
      </c>
      <c r="F34" s="4">
        <f>ROUND(E34*'Parâmetros'!$B$21/100,2)</f>
        <v/>
      </c>
    </row>
    <row r="35">
      <c r="A35" s="8" t="inlineStr">
        <is>
          <t>10/2025</t>
        </is>
      </c>
      <c r="B35" s="4">
        <f>'Diferenças'!D39</f>
        <v/>
      </c>
      <c r="C35" s="4">
        <f>'Diferenças'!R39</f>
        <v/>
      </c>
      <c r="D35" s="4">
        <f>'Diferenças'!S39</f>
        <v/>
      </c>
      <c r="E35" s="4">
        <f>C35+D35</f>
        <v/>
      </c>
      <c r="F35" s="4">
        <f>ROUND(E35*'Parâmetros'!$B$21/100,2)</f>
        <v/>
      </c>
    </row>
    <row r="36">
      <c r="A36" s="8" t="inlineStr">
        <is>
          <t>11/2025</t>
        </is>
      </c>
      <c r="B36" s="4">
        <f>'Diferenças'!D40</f>
        <v/>
      </c>
      <c r="C36" s="4">
        <f>'Diferenças'!R40</f>
        <v/>
      </c>
      <c r="D36" s="4">
        <f>'Diferenças'!S40</f>
        <v/>
      </c>
      <c r="E36" s="4">
        <f>C36+D36</f>
        <v/>
      </c>
      <c r="F36" s="4">
        <f>ROUND(E36*'Parâmetros'!$B$21/100,2)</f>
        <v/>
      </c>
    </row>
    <row r="37">
      <c r="A37" s="8" t="inlineStr">
        <is>
          <t>12/2025</t>
        </is>
      </c>
      <c r="B37" s="4">
        <f>'Diferenças'!D41</f>
        <v/>
      </c>
      <c r="C37" s="4">
        <f>'Diferenças'!R41</f>
        <v/>
      </c>
      <c r="D37" s="4">
        <f>'Diferenças'!S41</f>
        <v/>
      </c>
      <c r="E37" s="4">
        <f>C37+D37</f>
        <v/>
      </c>
      <c r="F37" s="4">
        <f>ROUND(E37*'Parâmetros'!$B$21/100,2)</f>
        <v/>
      </c>
    </row>
    <row r="38">
      <c r="A38" s="8" t="inlineStr">
        <is>
          <t>01/2026</t>
        </is>
      </c>
      <c r="B38" s="4">
        <f>'Diferenças'!D42</f>
        <v/>
      </c>
      <c r="C38" s="4">
        <f>'Diferenças'!R42</f>
        <v/>
      </c>
      <c r="D38" s="4">
        <f>'Diferenças'!S42</f>
        <v/>
      </c>
      <c r="E38" s="4">
        <f>C38+D38</f>
        <v/>
      </c>
      <c r="F38" s="4">
        <f>ROUND(E38*'Parâmetros'!$B$21/100,2)</f>
        <v/>
      </c>
    </row>
    <row r="39">
      <c r="A39" s="8" t="inlineStr">
        <is>
          <t>02/2026</t>
        </is>
      </c>
      <c r="B39" s="4">
        <f>'Diferenças'!D43</f>
        <v/>
      </c>
      <c r="C39" s="4">
        <f>'Diferenças'!R43</f>
        <v/>
      </c>
      <c r="D39" s="4">
        <f>'Diferenças'!S43</f>
        <v/>
      </c>
      <c r="E39" s="4">
        <f>C39+D39</f>
        <v/>
      </c>
      <c r="F39" s="4">
        <f>ROUND(E39*'Parâmetros'!$B$21/100,2)</f>
        <v/>
      </c>
    </row>
    <row r="40">
      <c r="A40" s="8" t="inlineStr">
        <is>
          <t>03/2026</t>
        </is>
      </c>
      <c r="B40" s="4">
        <f>'Diferenças'!D44</f>
        <v/>
      </c>
      <c r="C40" s="4">
        <f>'Diferenças'!R44</f>
        <v/>
      </c>
      <c r="D40" s="4">
        <f>'Diferenças'!S44</f>
        <v/>
      </c>
      <c r="E40" s="4">
        <f>C40+D40</f>
        <v/>
      </c>
      <c r="F40" s="4">
        <f>ROUND(E40*'Parâmetros'!$B$21/100,2)</f>
        <v/>
      </c>
    </row>
    <row r="41">
      <c r="A41" s="8" t="inlineStr">
        <is>
          <t>04/2026</t>
        </is>
      </c>
      <c r="B41" s="4">
        <f>'Diferenças'!D45</f>
        <v/>
      </c>
      <c r="C41" s="4">
        <f>'Diferenças'!R45</f>
        <v/>
      </c>
      <c r="D41" s="4">
        <f>'Diferenças'!S45</f>
        <v/>
      </c>
      <c r="E41" s="4">
        <f>C41+D41</f>
        <v/>
      </c>
      <c r="F41" s="4">
        <f>ROUND(E41*'Parâmetros'!$B$21/100,2)</f>
        <v/>
      </c>
    </row>
    <row r="42">
      <c r="A42" s="8" t="inlineStr">
        <is>
          <t>13º</t>
        </is>
      </c>
      <c r="B42" s="4">
        <f>'Diferenças'!D46</f>
        <v/>
      </c>
      <c r="C42" s="4">
        <f>'Diferenças'!R46</f>
        <v/>
      </c>
      <c r="D42" s="4">
        <f>'Diferenças'!S46</f>
        <v/>
      </c>
      <c r="E42" s="4">
        <f>C42+D42</f>
        <v/>
      </c>
      <c r="F42" s="4">
        <f>ROUND(E42*'Parâmetros'!$B$21/100,2)</f>
        <v/>
      </c>
    </row>
    <row r="43">
      <c r="A43" s="2" t="inlineStr">
        <is>
          <t>Totais:</t>
        </is>
      </c>
      <c r="B43" s="5">
        <f>SUM(B12:B42)</f>
        <v/>
      </c>
      <c r="C43" s="5">
        <f>SUM(C12:C42)</f>
        <v/>
      </c>
      <c r="D43" s="5">
        <f>SUM(D12:D42)</f>
        <v/>
      </c>
      <c r="E43" s="5">
        <f>SUM(E12:E42)</f>
        <v/>
      </c>
      <c r="F43" s="5">
        <f>SUM(F12:F42)</f>
        <v/>
      </c>
    </row>
    <row r="45">
      <c r="A45" s="2" t="inlineStr">
        <is>
          <t>Sobre a Base Atualizada:</t>
        </is>
      </c>
      <c r="B45" s="4">
        <f>ROUND(C43*'Parâmetros'!$B$21/100,2)</f>
        <v/>
      </c>
    </row>
    <row r="46">
      <c r="A46" s="2" t="inlineStr">
        <is>
          <t>Sobre os Juros:</t>
        </is>
      </c>
      <c r="B46" s="4">
        <f>ROUND(D43*'Parâmetros'!$B$21/100,2)</f>
        <v/>
      </c>
    </row>
    <row r="47">
      <c r="A47" s="2" t="inlineStr">
        <is>
          <t>Valor Fixo:</t>
        </is>
      </c>
      <c r="B47" s="4">
        <f>'Parâmetros'!$B$23</f>
        <v/>
      </c>
    </row>
    <row r="48">
      <c r="A48" s="2" t="inlineStr">
        <is>
          <t>Total Geral de Honorários:</t>
        </is>
      </c>
      <c r="B48" s="5">
        <f>B45+B46+B47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</cols>
  <sheetData>
    <row r="1">
      <c r="A1" s="1" t="inlineStr">
        <is>
          <t>Informações para Imposto de Renda (Rendimentos Recebidos Acumuladamente)</t>
        </is>
      </c>
    </row>
    <row r="2">
      <c r="A2" s="2" t="inlineStr">
        <is>
          <t>Nome do Segurado:</t>
        </is>
      </c>
      <c r="B2" t="inlineStr">
        <is>
          <t>JOSE EXEMPLO DA SILVA</t>
        </is>
      </c>
      <c r="D2" s="2" t="inlineStr">
        <is>
          <t>NIT:</t>
        </is>
      </c>
      <c r="E2" t="inlineStr">
        <is>
          <t>111.22222.33-4</t>
        </is>
      </c>
    </row>
    <row r="3">
      <c r="A3" s="2" t="inlineStr">
        <is>
          <t>CPF:</t>
        </is>
      </c>
      <c r="B3" t="inlineStr">
        <is>
          <t>111.222.333-44</t>
        </is>
      </c>
      <c r="D3" s="2" t="inlineStr">
        <is>
          <t>Data de Nascimento:</t>
        </is>
      </c>
      <c r="E3" t="inlineStr">
        <is>
          <t>10/05/1962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/>
    </row>
    <row r="5">
      <c r="A5" s="2" t="inlineStr">
        <is>
          <t>Espécie do Benefício:</t>
        </is>
      </c>
      <c r="B5" t="inlineStr">
        <is>
          <t>42 - Aposentadoria por Tempo de Contribuição</t>
        </is>
      </c>
      <c r="D5" s="2" t="inlineStr">
        <is>
          <t>Nº do Processo:</t>
        </is>
      </c>
      <c r="E5" t="inlineStr">
        <is>
          <t>0000000-00.2024.4.01.3800</t>
        </is>
      </c>
    </row>
    <row r="6">
      <c r="A6" s="2" t="inlineStr">
        <is>
          <t>Início do Benefício (DIB):</t>
        </is>
      </c>
      <c r="B6" t="inlineStr">
        <is>
          <t>01/03/2024</t>
        </is>
      </c>
      <c r="D6" s="2" t="inlineStr">
        <is>
          <t>Data da Atualização:</t>
        </is>
      </c>
      <c r="E6" t="inlineStr">
        <is>
          <t>15/09/2026</t>
        </is>
      </c>
    </row>
    <row r="7">
      <c r="A7" s="2" t="inlineStr">
        <is>
          <t>Ajuizamento:</t>
        </is>
      </c>
      <c r="B7" t="inlineStr">
        <is>
          <t>10/06/2024</t>
        </is>
      </c>
      <c r="D7" s="2" t="inlineStr">
        <is>
          <t>Data da Prescrição:</t>
        </is>
      </c>
      <c r="E7" t="inlineStr">
        <is>
          <t>01/03/2024</t>
        </is>
      </c>
    </row>
    <row r="9" ht="32" customHeight="1">
      <c r="A9" s="11" t="inlineStr"/>
      <c r="B9" s="11" t="inlineStr">
        <is>
          <t>Valor</t>
        </is>
      </c>
      <c r="C9" s="11" t="inlineStr">
        <is>
          <t>Meses</t>
        </is>
      </c>
    </row>
    <row r="10">
      <c r="A10" s="22" t="inlineStr">
        <is>
          <t>Anos-base anteriores</t>
        </is>
      </c>
      <c r="B10" s="4">
        <f>SUMIFS('Diferenças'!$Q$16:$Q$51,'Diferenças'!$T$16:$T$51,"&lt;2026")</f>
        <v/>
      </c>
      <c r="C10" s="8" t="n">
        <v>24</v>
      </c>
    </row>
    <row r="11">
      <c r="A11" s="22" t="inlineStr">
        <is>
          <t>Ano-base atual (2026)</t>
        </is>
      </c>
      <c r="B11" s="4">
        <f>SUMIFS('Diferenças'!$Q$16:$Q$51,'Diferenças'!$T$16:$T$51,2026)</f>
        <v/>
      </c>
      <c r="C11" s="8" t="n">
        <v>9</v>
      </c>
    </row>
    <row r="12">
      <c r="A12" s="22" t="inlineStr">
        <is>
          <t>Total</t>
        </is>
      </c>
      <c r="B12" s="4">
        <f>B10+B11</f>
        <v/>
      </c>
      <c r="C12" s="8" t="n">
        <v>33</v>
      </c>
    </row>
    <row r="14">
      <c r="A14" t="inlineStr">
        <is>
          <t>Meses: competências mensais + 1 mês por ano com 13º (art. 12-A da Lei 7.713/88).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Índices mensais utilizados (%)</t>
        </is>
      </c>
    </row>
    <row r="3" ht="32" customHeight="1">
      <c r="A3" s="11" t="inlineStr">
        <is>
          <t>Competência</t>
        </is>
      </c>
      <c r="B3" s="11" t="inlineStr">
        <is>
          <t>INPC</t>
        </is>
      </c>
      <c r="C3" s="11" t="inlineStr">
        <is>
          <t>SELIC</t>
        </is>
      </c>
      <c r="D3" s="11" t="inlineStr">
        <is>
          <t>TAXA LEGAL</t>
        </is>
      </c>
    </row>
    <row r="4">
      <c r="A4" s="8" t="inlineStr">
        <is>
          <t>03/2024</t>
        </is>
      </c>
      <c r="B4" s="18" t="n">
        <v>0.4</v>
      </c>
      <c r="C4" s="18" t="n">
        <v>1</v>
      </c>
      <c r="D4" s="18" t="n"/>
    </row>
    <row r="5">
      <c r="A5" s="8" t="inlineStr">
        <is>
          <t>04/2024</t>
        </is>
      </c>
      <c r="B5" s="18" t="n">
        <v>0.4</v>
      </c>
      <c r="C5" s="18" t="n">
        <v>1</v>
      </c>
      <c r="D5" s="18" t="n"/>
    </row>
    <row r="6">
      <c r="A6" s="8" t="inlineStr">
        <is>
          <t>05/2024</t>
        </is>
      </c>
      <c r="B6" s="18" t="n">
        <v>0.4</v>
      </c>
      <c r="C6" s="18" t="n">
        <v>1</v>
      </c>
      <c r="D6" s="18" t="n"/>
    </row>
    <row r="7">
      <c r="A7" s="8" t="inlineStr">
        <is>
          <t>06/2024</t>
        </is>
      </c>
      <c r="B7" s="18" t="n">
        <v>0.4</v>
      </c>
      <c r="C7" s="18" t="n">
        <v>1</v>
      </c>
      <c r="D7" s="18" t="n"/>
    </row>
    <row r="8">
      <c r="A8" s="8" t="inlineStr">
        <is>
          <t>07/2024</t>
        </is>
      </c>
      <c r="B8" s="18" t="n">
        <v>0.4</v>
      </c>
      <c r="C8" s="18" t="n">
        <v>1</v>
      </c>
      <c r="D8" s="18" t="n"/>
    </row>
    <row r="9">
      <c r="A9" s="8" t="inlineStr">
        <is>
          <t>08/2024</t>
        </is>
      </c>
      <c r="B9" s="18" t="n">
        <v>0.4</v>
      </c>
      <c r="C9" s="18" t="n">
        <v>1</v>
      </c>
      <c r="D9" s="18" t="n"/>
    </row>
    <row r="10">
      <c r="A10" s="8" t="inlineStr">
        <is>
          <t>09/2024</t>
        </is>
      </c>
      <c r="B10" s="18" t="n">
        <v>0.4</v>
      </c>
      <c r="C10" s="18" t="n">
        <v>1</v>
      </c>
      <c r="D10" s="18" t="n"/>
    </row>
    <row r="11">
      <c r="A11" s="8" t="inlineStr">
        <is>
          <t>10/2024</t>
        </is>
      </c>
      <c r="B11" s="18" t="n">
        <v>0.4</v>
      </c>
      <c r="C11" s="18" t="n">
        <v>1</v>
      </c>
      <c r="D11" s="18" t="n"/>
    </row>
    <row r="12">
      <c r="A12" s="8" t="inlineStr">
        <is>
          <t>11/2024</t>
        </is>
      </c>
      <c r="B12" s="18" t="n">
        <v>0.4</v>
      </c>
      <c r="C12" s="18" t="n">
        <v>1</v>
      </c>
      <c r="D12" s="18" t="n"/>
    </row>
    <row r="13">
      <c r="A13" s="8" t="inlineStr">
        <is>
          <t>12/2024</t>
        </is>
      </c>
      <c r="B13" s="18" t="n">
        <v>0.4</v>
      </c>
      <c r="C13" s="18" t="n">
        <v>1</v>
      </c>
      <c r="D13" s="18" t="n"/>
    </row>
    <row r="14">
      <c r="A14" s="8" t="inlineStr">
        <is>
          <t>01/2025</t>
        </is>
      </c>
      <c r="B14" s="18" t="n"/>
      <c r="C14" s="18" t="n">
        <v>1</v>
      </c>
      <c r="D14" s="18" t="n"/>
    </row>
    <row r="15">
      <c r="A15" s="8" t="inlineStr">
        <is>
          <t>02/2025</t>
        </is>
      </c>
      <c r="B15" s="18" t="n"/>
      <c r="C15" s="18" t="n">
        <v>1</v>
      </c>
      <c r="D15" s="18" t="n"/>
    </row>
    <row r="16">
      <c r="A16" s="8" t="inlineStr">
        <is>
          <t>03/2025</t>
        </is>
      </c>
      <c r="B16" s="18" t="n"/>
      <c r="C16" s="18" t="n">
        <v>1</v>
      </c>
      <c r="D16" s="18" t="n"/>
    </row>
    <row r="17">
      <c r="A17" s="8" t="inlineStr">
        <is>
          <t>04/2025</t>
        </is>
      </c>
      <c r="B17" s="18" t="n"/>
      <c r="C17" s="18" t="n">
        <v>1</v>
      </c>
      <c r="D17" s="18" t="n"/>
    </row>
    <row r="18">
      <c r="A18" s="8" t="inlineStr">
        <is>
          <t>05/2025</t>
        </is>
      </c>
      <c r="B18" s="18" t="n"/>
      <c r="C18" s="18" t="n">
        <v>1</v>
      </c>
      <c r="D18" s="18" t="n"/>
    </row>
    <row r="19">
      <c r="A19" s="8" t="inlineStr">
        <is>
          <t>06/2025</t>
        </is>
      </c>
      <c r="B19" s="18" t="n"/>
      <c r="C19" s="18" t="n">
        <v>1</v>
      </c>
      <c r="D19" s="18" t="n"/>
    </row>
    <row r="20">
      <c r="A20" s="8" t="inlineStr">
        <is>
          <t>07/2025</t>
        </is>
      </c>
      <c r="B20" s="18" t="n"/>
      <c r="C20" s="18" t="n">
        <v>1</v>
      </c>
      <c r="D20" s="18" t="n"/>
    </row>
    <row r="21">
      <c r="A21" s="8" t="inlineStr">
        <is>
          <t>08/2025</t>
        </is>
      </c>
      <c r="B21" s="18" t="n"/>
      <c r="C21" s="18" t="n">
        <v>1</v>
      </c>
      <c r="D21" s="18" t="n"/>
    </row>
    <row r="22">
      <c r="A22" s="8" t="inlineStr">
        <is>
          <t>09/2025</t>
        </is>
      </c>
      <c r="B22" s="18" t="n">
        <v>0.4</v>
      </c>
      <c r="C22" s="18" t="n">
        <v>1</v>
      </c>
      <c r="D22" s="18" t="n">
        <v>0.6</v>
      </c>
    </row>
    <row r="23">
      <c r="A23" s="8" t="inlineStr">
        <is>
          <t>10/2025</t>
        </is>
      </c>
      <c r="B23" s="18" t="n">
        <v>0.4</v>
      </c>
      <c r="C23" s="18" t="n">
        <v>1</v>
      </c>
      <c r="D23" s="18" t="n">
        <v>0.6</v>
      </c>
    </row>
    <row r="24">
      <c r="A24" s="8" t="inlineStr">
        <is>
          <t>11/2025</t>
        </is>
      </c>
      <c r="B24" s="18" t="n">
        <v>0.4</v>
      </c>
      <c r="C24" s="18" t="n">
        <v>1</v>
      </c>
      <c r="D24" s="18" t="n">
        <v>0.6</v>
      </c>
    </row>
    <row r="25">
      <c r="A25" s="8" t="inlineStr">
        <is>
          <t>12/2025</t>
        </is>
      </c>
      <c r="B25" s="18" t="n">
        <v>0.4</v>
      </c>
      <c r="C25" s="18" t="n">
        <v>1</v>
      </c>
      <c r="D25" s="18" t="n">
        <v>0.6</v>
      </c>
    </row>
    <row r="26">
      <c r="A26" s="8" t="inlineStr">
        <is>
          <t>01/2026</t>
        </is>
      </c>
      <c r="B26" s="18" t="n">
        <v>0.4</v>
      </c>
      <c r="C26" s="18" t="n">
        <v>1</v>
      </c>
      <c r="D26" s="18" t="n">
        <v>0.6</v>
      </c>
    </row>
    <row r="27">
      <c r="A27" s="8" t="inlineStr">
        <is>
          <t>02/2026</t>
        </is>
      </c>
      <c r="B27" s="18" t="n">
        <v>0.4</v>
      </c>
      <c r="C27" s="18" t="n">
        <v>1</v>
      </c>
      <c r="D27" s="18" t="n">
        <v>0.6</v>
      </c>
    </row>
    <row r="28">
      <c r="A28" s="8" t="inlineStr">
        <is>
          <t>03/2026</t>
        </is>
      </c>
      <c r="B28" s="18" t="n">
        <v>0.4</v>
      </c>
      <c r="C28" s="18" t="n">
        <v>1</v>
      </c>
      <c r="D28" s="18" t="n">
        <v>0.6</v>
      </c>
    </row>
    <row r="29">
      <c r="A29" s="8" t="inlineStr">
        <is>
          <t>04/2026</t>
        </is>
      </c>
      <c r="B29" s="18" t="n">
        <v>0.4</v>
      </c>
      <c r="C29" s="18" t="n">
        <v>1</v>
      </c>
      <c r="D29" s="18" t="n">
        <v>0.6</v>
      </c>
    </row>
    <row r="30">
      <c r="A30" s="8" t="inlineStr">
        <is>
          <t>05/2026</t>
        </is>
      </c>
      <c r="B30" s="18" t="n">
        <v>0.4</v>
      </c>
      <c r="C30" s="18" t="n">
        <v>1</v>
      </c>
      <c r="D30" s="18" t="n">
        <v>0.6</v>
      </c>
    </row>
    <row r="31">
      <c r="A31" s="8" t="inlineStr">
        <is>
          <t>06/2026</t>
        </is>
      </c>
      <c r="B31" s="18" t="n">
        <v>0.4</v>
      </c>
      <c r="C31" s="18" t="n">
        <v>1</v>
      </c>
      <c r="D31" s="18" t="n">
        <v>0.6</v>
      </c>
    </row>
    <row r="32">
      <c r="A32" s="8" t="inlineStr">
        <is>
          <t>07/2026</t>
        </is>
      </c>
      <c r="B32" s="18" t="n">
        <v>0.4</v>
      </c>
      <c r="C32" s="18" t="n">
        <v>1</v>
      </c>
      <c r="D32" s="18" t="n">
        <v>0.6</v>
      </c>
    </row>
    <row r="33">
      <c r="A33" s="8" t="inlineStr">
        <is>
          <t>08/2026</t>
        </is>
      </c>
      <c r="B33" s="18" t="n">
        <v>0.4</v>
      </c>
      <c r="C33" s="18" t="n">
        <v>1</v>
      </c>
      <c r="D33" s="18" t="n">
        <v>0.6</v>
      </c>
    </row>
    <row r="35">
      <c r="A35" t="inlineStr">
        <is>
          <t>Fontes: IBGE/BCB-SGS (INPC 188, IGP-DI 190, IPCA-E 10764, SELIC 4390, meta SELIC 432) e Manual de Cálculos da Justiça Federal.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Pontos a conferir antes de usar o cálculo</t>
        </is>
      </c>
    </row>
    <row r="3">
      <c r="A3" t="inlineStr">
        <is>
          <t>• RMI calculada pela regra 'Transição - pedágio 50%' (DIB 01/03/2024); confira com a carta de concessão.</t>
        </is>
      </c>
    </row>
    <row r="4">
      <c r="A4" t="inlineStr">
        <is>
          <t>• reajuste de 2026 (3.9%) não foi conferido na fonte oficial</t>
        </is>
      </c>
    </row>
    <row r="5">
      <c r="A5" t="inlineStr">
        <is>
          <t>• salario_minimo de 2026-01 (1621.0) não foi conferido na fonte oficial</t>
        </is>
      </c>
    </row>
    <row r="6">
      <c r="A6" t="inlineStr">
        <is>
          <t>• teto de 2026-01 (8475.55) não foi conferido na fonte 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2026-09-29T22:58:22Z</dcterms:created>
  <dcterms:modified xsi:type="dcterms:W3CDTF">2026-09-29T22:58:22Z</dcterms:modified>
</cp:coreProperties>
</file>
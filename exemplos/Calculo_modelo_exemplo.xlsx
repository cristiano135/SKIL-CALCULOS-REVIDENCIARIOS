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arâmetros" sheetId="2" state="visible" r:id="rId2"/>
    <sheet name="Evolução RMI" sheetId="3" state="visible" r:id="rId3"/>
    <sheet name="Diferenças" sheetId="4" state="visible" r:id="rId4"/>
    <sheet name="Honorários" sheetId="5" state="visible" r:id="rId5"/>
    <sheet name="IR (RRA)" sheetId="6" state="visible" r:id="rId6"/>
    <sheet name="Índ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  <font>
      <i val="1"/>
      <sz val="9"/>
    </font>
    <font>
      <sz val="9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1" pivotButton="0" quotePrefix="0" xfId="0"/>
    <xf numFmtId="4" fontId="0" fillId="0" borderId="1" pivotButton="0" quotePrefix="0" xfId="0"/>
    <xf numFmtId="4" fontId="2" fillId="4" borderId="1" pivotButton="0" quotePrefix="0" xfId="0"/>
    <xf numFmtId="2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4" fontId="0" fillId="2" borderId="1" pivotButton="0" quotePrefix="0" xfId="0"/>
    <xf numFmtId="164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165" fontId="0" fillId="2" borderId="1" pivotButton="0" quotePrefix="0" xfId="0"/>
    <xf numFmtId="164" fontId="0" fillId="0" borderId="1" pivotButton="0" quotePrefix="0" xfId="0"/>
    <xf numFmtId="0" fontId="4" fillId="0" borderId="0" pivotButton="0" quotePrefix="0" xfId="0"/>
    <xf numFmtId="1" fontId="0" fillId="0" borderId="1" pivotButton="0" quotePrefix="0" xfId="0"/>
    <xf numFmtId="0" fontId="5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4" max="4"/>
    <col width="28" customWidth="1" min="5" max="5"/>
  </cols>
  <sheetData>
    <row r="1">
      <c r="A1" s="1" t="inlineStr">
        <is>
          <t>Resumo do Cálculo</t>
        </is>
      </c>
    </row>
    <row r="2">
      <c r="A2" s="2" t="inlineStr">
        <is>
          <t>Nome do Segurado:</t>
        </is>
      </c>
      <c r="B2" t="inlineStr">
        <is>
          <t>SEGURADO EXEMPLO</t>
        </is>
      </c>
      <c r="D2" s="2" t="inlineStr">
        <is>
          <t>NIT:</t>
        </is>
      </c>
      <c r="E2" t="inlineStr">
        <is>
          <t>000.00000.00-0</t>
        </is>
      </c>
    </row>
    <row r="3">
      <c r="A3" s="2" t="inlineStr">
        <is>
          <t>CPF:</t>
        </is>
      </c>
      <c r="B3" t="inlineStr">
        <is>
          <t>000.000.000-00</t>
        </is>
      </c>
      <c r="D3" s="2" t="inlineStr">
        <is>
          <t>Data de Nascimento:</t>
        </is>
      </c>
      <c r="E3" t="inlineStr">
        <is>
          <t>13/08/1976</t>
        </is>
      </c>
    </row>
    <row r="4">
      <c r="A4" s="2" t="inlineStr">
        <is>
          <t>Sexo:</t>
        </is>
      </c>
      <c r="B4" t="inlineStr">
        <is>
          <t>Masculino</t>
        </is>
      </c>
      <c r="D4" s="2" t="inlineStr">
        <is>
          <t>Nº do Benefício:</t>
        </is>
      </c>
      <c r="E4" t="inlineStr">
        <is>
          <t>000.000.000-0</t>
        </is>
      </c>
    </row>
    <row r="5">
      <c r="A5" s="2" t="inlineStr">
        <is>
          <t>Espécie do Benefício:</t>
        </is>
      </c>
      <c r="B5" t="inlineStr">
        <is>
          <t>46 - Aposentadoria Especial</t>
        </is>
      </c>
      <c r="D5" s="2" t="inlineStr">
        <is>
          <t>Nº do Processo:</t>
        </is>
      </c>
      <c r="E5" t="inlineStr">
        <is>
          <t>0000000-00.2021.4.01.3800</t>
        </is>
      </c>
    </row>
    <row r="6">
      <c r="A6" s="2" t="inlineStr">
        <is>
          <t>Início do Benefício (DIB):</t>
        </is>
      </c>
      <c r="B6" t="inlineStr">
        <is>
          <t>16/10/2019</t>
        </is>
      </c>
      <c r="D6" s="2" t="inlineStr">
        <is>
          <t>Data da Atualização:</t>
        </is>
      </c>
      <c r="E6" t="inlineStr">
        <is>
          <t>08/05/2025</t>
        </is>
      </c>
    </row>
    <row r="7">
      <c r="A7" s="2" t="inlineStr">
        <is>
          <t>Ajuizamento:</t>
        </is>
      </c>
      <c r="B7" t="inlineStr">
        <is>
          <t>21/01/2021</t>
        </is>
      </c>
      <c r="D7" s="2" t="inlineStr">
        <is>
          <t>Data da Prescrição:</t>
        </is>
      </c>
      <c r="E7" t="inlineStr">
        <is>
          <t>16/10/2019</t>
        </is>
      </c>
    </row>
    <row r="9">
      <c r="A9" s="2" t="inlineStr">
        <is>
          <t>Renda Mensal Corrigida até 08/05/2025:</t>
        </is>
      </c>
      <c r="B9" s="3">
        <f>'Diferenças'!B93</f>
        <v/>
      </c>
    </row>
    <row r="10">
      <c r="A10" s="2" t="inlineStr">
        <is>
          <t>Principal:</t>
        </is>
      </c>
      <c r="B10" s="4">
        <f>'Diferenças'!D91</f>
        <v/>
      </c>
    </row>
    <row r="11">
      <c r="A11" s="2" t="inlineStr">
        <is>
          <t>Correção Monetária:</t>
        </is>
      </c>
      <c r="B11" s="4">
        <f>'Diferenças'!M91-'Diferenças'!D91</f>
        <v/>
      </c>
    </row>
    <row r="12">
      <c r="A12" s="2" t="inlineStr">
        <is>
          <t>Total Atualizado:</t>
        </is>
      </c>
      <c r="B12" s="4">
        <f>'Diferenças'!M91</f>
        <v/>
      </c>
    </row>
    <row r="13">
      <c r="A13" s="2" t="inlineStr">
        <is>
          <t>Valor dos Juros:</t>
        </is>
      </c>
      <c r="B13" s="4">
        <f>'Diferenças'!N91</f>
        <v/>
      </c>
    </row>
    <row r="14">
      <c r="A14" s="2" t="inlineStr">
        <is>
          <t>(-) Acordo/Deságio:</t>
        </is>
      </c>
      <c r="B14" s="4">
        <f>'Parâmetros'!$B$24</f>
        <v/>
      </c>
    </row>
    <row r="15">
      <c r="A15" s="2" t="inlineStr">
        <is>
          <t>Total Atualizado + Valor dos Juros - Valor Acordo:</t>
        </is>
      </c>
      <c r="B15" s="5">
        <f>B12+B13-B14</f>
        <v/>
      </c>
    </row>
    <row r="16">
      <c r="A16" s="2" t="inlineStr">
        <is>
          <t>Honorários Sobre a Base de Cálculo Atualizada:</t>
        </is>
      </c>
      <c r="B16" s="4">
        <f>'Honorários'!$B$90</f>
        <v/>
      </c>
    </row>
    <row r="17">
      <c r="A17" s="2" t="inlineStr">
        <is>
          <t>Honorários Sobre os Juros da Base de Cálculo:</t>
        </is>
      </c>
      <c r="B17" s="4">
        <f>'Honorários'!$B$91</f>
        <v/>
      </c>
    </row>
    <row r="18">
      <c r="A18" s="2" t="inlineStr">
        <is>
          <t>Valor Fixo de Honorários:</t>
        </is>
      </c>
      <c r="B18" s="4">
        <f>'Honorários'!$B$92</f>
        <v/>
      </c>
    </row>
    <row r="19">
      <c r="A19" s="2" t="inlineStr">
        <is>
          <t>Total Atualizado de Honorários:</t>
        </is>
      </c>
      <c r="B19" s="4">
        <f>'Honorários'!$B$93</f>
        <v/>
      </c>
    </row>
    <row r="20">
      <c r="A20" s="2" t="inlineStr">
        <is>
          <t>Multa:</t>
        </is>
      </c>
      <c r="B20" s="4">
        <f>'Parâmetros'!$B$25</f>
        <v/>
      </c>
    </row>
    <row r="21">
      <c r="A21" s="2" t="inlineStr">
        <is>
          <t>Dano Moral/Material:</t>
        </is>
      </c>
      <c r="B21" s="4">
        <f>'Parâmetros'!$B$26</f>
        <v/>
      </c>
    </row>
    <row r="22">
      <c r="A22" s="2" t="inlineStr">
        <is>
          <t>Total Geral:</t>
        </is>
      </c>
      <c r="B22" s="5">
        <f>B15+B19+B20+B21</f>
        <v/>
      </c>
    </row>
    <row r="23">
      <c r="A23" t="inlineStr">
        <is>
          <t>Total geral atualizado até 08/05/2025</t>
        </is>
      </c>
    </row>
    <row r="24">
      <c r="A24" s="2" t="inlineStr">
        <is>
          <t>O valor equivale a (salários mínimos):</t>
        </is>
      </c>
      <c r="B24" s="6">
        <f>ROUND(B22/'Parâmetros'!$B$27,2)</f>
        <v/>
      </c>
    </row>
    <row r="26">
      <c r="A26" s="7" t="inlineStr">
        <is>
          <t>Valor da causa (art. 292, §§ 1º e 2º, do CPC)</t>
        </is>
      </c>
    </row>
    <row r="27">
      <c r="A27" s="2" t="inlineStr">
        <is>
          <t>Parcelas vencidas (atualizadas + juros):</t>
        </is>
      </c>
      <c r="B27" s="4">
        <f>B15</f>
        <v/>
      </c>
    </row>
    <row r="28">
      <c r="A28" s="2" t="inlineStr">
        <is>
          <t>12 parcelas vincendas (12 × R.M.A.):</t>
        </is>
      </c>
      <c r="B28" s="4">
        <f>ROUND(12*'Diferenças'!B93,2)</f>
        <v/>
      </c>
    </row>
    <row r="29">
      <c r="A29" s="2" t="inlineStr">
        <is>
          <t>Valor da causa:</t>
        </is>
      </c>
      <c r="B29" s="4">
        <f>B27+B28</f>
        <v/>
      </c>
    </row>
    <row r="30">
      <c r="A30" s="2" t="inlineStr">
        <is>
          <t>Limite do JEF (60 salários mínimos):</t>
        </is>
      </c>
      <c r="B30" s="4">
        <f>ROUND(60*'Parâmetros'!$B$27,2)</f>
        <v/>
      </c>
    </row>
    <row r="31">
      <c r="A31" s="2" t="inlineStr">
        <is>
          <t>Competência:</t>
        </is>
      </c>
      <c r="B31" s="8">
        <f>IF(B29&lt;=B30,"Juizado Especial Federal","Vara Federal (ou renúncia ao excedente)")</f>
        <v/>
      </c>
    </row>
    <row r="34">
      <c r="A34" s="2" t="inlineStr">
        <is>
          <t>Cristiano da Silva Ottone  OAB/MG 152.214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4" customWidth="1" min="1" max="1"/>
    <col width="48" customWidth="1" min="2" max="2"/>
  </cols>
  <sheetData>
    <row r="1">
      <c r="A1" s="1" t="inlineStr">
        <is>
          <t>Parâmetros do cálculo (células amarelas podem ser editadas)</t>
        </is>
      </c>
    </row>
    <row r="3">
      <c r="A3" s="2" t="inlineStr">
        <is>
          <t>Nome do segurado</t>
        </is>
      </c>
      <c r="B3" s="8" t="inlineStr">
        <is>
          <t>SEGURADO EXEMPLO</t>
        </is>
      </c>
    </row>
    <row r="4">
      <c r="A4" s="2" t="inlineStr">
        <is>
          <t>NIT</t>
        </is>
      </c>
      <c r="B4" s="8" t="inlineStr">
        <is>
          <t>000.00000.00-0</t>
        </is>
      </c>
    </row>
    <row r="5">
      <c r="A5" s="2" t="inlineStr">
        <is>
          <t>CPF</t>
        </is>
      </c>
      <c r="B5" s="8" t="inlineStr">
        <is>
          <t>000.000.000-00</t>
        </is>
      </c>
    </row>
    <row r="6">
      <c r="A6" s="2" t="inlineStr">
        <is>
          <t>Data de nascimento</t>
        </is>
      </c>
      <c r="B6" s="8" t="inlineStr">
        <is>
          <t>13/08/1976</t>
        </is>
      </c>
    </row>
    <row r="7">
      <c r="A7" s="2" t="inlineStr">
        <is>
          <t>Sexo</t>
        </is>
      </c>
      <c r="B7" s="8" t="inlineStr">
        <is>
          <t>M</t>
        </is>
      </c>
    </row>
    <row r="8">
      <c r="A8" s="2" t="inlineStr">
        <is>
          <t>Nº do benefício</t>
        </is>
      </c>
      <c r="B8" s="8" t="inlineStr">
        <is>
          <t>000.000.000-0</t>
        </is>
      </c>
    </row>
    <row r="9">
      <c r="A9" s="2" t="inlineStr">
        <is>
          <t>Espécie</t>
        </is>
      </c>
      <c r="B9" s="8" t="inlineStr">
        <is>
          <t>46 - Aposentadoria Especial</t>
        </is>
      </c>
    </row>
    <row r="10">
      <c r="A10" s="2" t="inlineStr">
        <is>
          <t>DER</t>
        </is>
      </c>
      <c r="B10" s="8" t="inlineStr"/>
    </row>
    <row r="11">
      <c r="A11" s="2" t="inlineStr">
        <is>
          <t>DIB</t>
        </is>
      </c>
      <c r="B11" s="8" t="inlineStr">
        <is>
          <t>16/10/2019</t>
        </is>
      </c>
    </row>
    <row r="12">
      <c r="A12" s="2" t="inlineStr">
        <is>
          <t>RMI (renda mensal inicial)</t>
        </is>
      </c>
      <c r="B12" s="9" t="n">
        <v>4119.82</v>
      </c>
    </row>
    <row r="13">
      <c r="A13" s="2" t="inlineStr">
        <is>
          <t>Nº do processo</t>
        </is>
      </c>
      <c r="B13" s="8" t="inlineStr">
        <is>
          <t>0000000-00.2021.4.01.3800</t>
        </is>
      </c>
    </row>
    <row r="14">
      <c r="A14" s="2" t="inlineStr">
        <is>
          <t>Inscrição no INSS</t>
        </is>
      </c>
      <c r="B14" s="8" t="inlineStr">
        <is>
          <t>02/01/1992</t>
        </is>
      </c>
    </row>
    <row r="15">
      <c r="A15" s="2" t="inlineStr">
        <is>
          <t>Ajuizamento</t>
        </is>
      </c>
      <c r="B15" s="8" t="inlineStr">
        <is>
          <t>21/01/2021</t>
        </is>
      </c>
    </row>
    <row r="16">
      <c r="A16" s="2" t="inlineStr">
        <is>
          <t>Citação (início dos juros de mora)</t>
        </is>
      </c>
      <c r="B16" s="8" t="inlineStr">
        <is>
          <t>01/10/2021</t>
        </is>
      </c>
    </row>
    <row r="17">
      <c r="A17" s="2" t="inlineStr">
        <is>
          <t>Data da prescrição quinquenal</t>
        </is>
      </c>
      <c r="B17" s="8" t="inlineStr">
        <is>
          <t>16/10/2019</t>
        </is>
      </c>
    </row>
    <row r="18">
      <c r="A18" s="2" t="inlineStr">
        <is>
          <t>Data da atualização</t>
        </is>
      </c>
      <c r="B18" s="8" t="inlineStr">
        <is>
          <t>08/05/2025</t>
        </is>
      </c>
    </row>
    <row r="19">
      <c r="A19" s="2" t="inlineStr">
        <is>
          <t>Diferenças desde</t>
        </is>
      </c>
      <c r="B19" s="8" t="inlineStr">
        <is>
          <t>16/10/2019</t>
        </is>
      </c>
    </row>
    <row r="20">
      <c r="A20" s="2" t="inlineStr">
        <is>
          <t>Diferenças até</t>
        </is>
      </c>
      <c r="B20" s="8" t="inlineStr">
        <is>
          <t>28/02/2025</t>
        </is>
      </c>
    </row>
    <row r="21">
      <c r="A21" s="2" t="inlineStr">
        <is>
          <t>Honorários (%)</t>
        </is>
      </c>
      <c r="B21" s="10" t="n">
        <v>10</v>
      </c>
    </row>
    <row r="22">
      <c r="A22" s="2" t="inlineStr">
        <is>
          <t>Honorários: parcelas até (Súmula 111/STJ)</t>
        </is>
      </c>
      <c r="B22" s="8" t="inlineStr">
        <is>
          <t>todas</t>
        </is>
      </c>
    </row>
    <row r="23">
      <c r="A23" s="2" t="inlineStr">
        <is>
          <t>Honorários: valor fixo</t>
        </is>
      </c>
      <c r="B23" s="9" t="n">
        <v>0</v>
      </c>
    </row>
    <row r="24">
      <c r="A24" s="2" t="inlineStr">
        <is>
          <t>(-) Acordo/Deságio</t>
        </is>
      </c>
      <c r="B24" s="9" t="n">
        <v>0</v>
      </c>
    </row>
    <row r="25">
      <c r="A25" s="2" t="inlineStr">
        <is>
          <t>Multa</t>
        </is>
      </c>
      <c r="B25" s="9" t="n">
        <v>0</v>
      </c>
    </row>
    <row r="26">
      <c r="A26" s="2" t="inlineStr">
        <is>
          <t>Dano moral/material</t>
        </is>
      </c>
      <c r="B26" s="9" t="n">
        <v>0</v>
      </c>
    </row>
    <row r="27">
      <c r="A27" s="2" t="inlineStr">
        <is>
          <t>Salário mínimo na data da atualização</t>
        </is>
      </c>
      <c r="B27" s="9" t="n">
        <v>1518</v>
      </c>
    </row>
    <row r="28">
      <c r="A28" s="2" t="inlineStr">
        <is>
          <t>Índice de correção</t>
        </is>
      </c>
      <c r="B28" s="8" t="inlineStr">
        <is>
          <t>INPC</t>
        </is>
      </c>
    </row>
    <row r="29">
      <c r="A29" s="2" t="inlineStr">
        <is>
          <t>Responsável pelo cálculo</t>
        </is>
      </c>
      <c r="B29" s="8" t="inlineStr">
        <is>
          <t>Cristiano da Silva Ottone</t>
        </is>
      </c>
    </row>
    <row r="30">
      <c r="A30" s="2" t="inlineStr">
        <is>
          <t>OAB</t>
        </is>
      </c>
      <c r="B30" s="8" t="inlineStr">
        <is>
          <t>OAB/MG 152.214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16" customWidth="1" min="4" max="4"/>
    <col width="14" customWidth="1" min="5" max="5"/>
    <col width="17" customWidth="1" min="6" max="6"/>
    <col width="12" customWidth="1" min="7" max="7"/>
    <col width="19" customWidth="1" min="8" max="8"/>
  </cols>
  <sheetData>
    <row r="1">
      <c r="A1" s="1" t="inlineStr">
        <is>
          <t>Relatório da Evolução da R.M.I.</t>
        </is>
      </c>
    </row>
    <row r="2">
      <c r="A2" s="2" t="inlineStr">
        <is>
          <t>Nome do Segurado:</t>
        </is>
      </c>
      <c r="B2" t="inlineStr">
        <is>
          <t>SEGURADO EXEMPLO</t>
        </is>
      </c>
      <c r="D2" s="2" t="inlineStr">
        <is>
          <t>NIT:</t>
        </is>
      </c>
      <c r="E2" t="inlineStr">
        <is>
          <t>000.00000.00-0</t>
        </is>
      </c>
    </row>
    <row r="3">
      <c r="A3" s="2" t="inlineStr">
        <is>
          <t>CPF:</t>
        </is>
      </c>
      <c r="B3" t="inlineStr">
        <is>
          <t>000.000.000-00</t>
        </is>
      </c>
      <c r="D3" s="2" t="inlineStr">
        <is>
          <t>Data de Nascimento:</t>
        </is>
      </c>
      <c r="E3" t="inlineStr">
        <is>
          <t>13/08/1976</t>
        </is>
      </c>
    </row>
    <row r="4">
      <c r="A4" s="2" t="inlineStr">
        <is>
          <t>Sexo:</t>
        </is>
      </c>
      <c r="B4" t="inlineStr">
        <is>
          <t>Masculino</t>
        </is>
      </c>
      <c r="D4" s="2" t="inlineStr">
        <is>
          <t>Nº do Benefício:</t>
        </is>
      </c>
      <c r="E4" t="inlineStr">
        <is>
          <t>000.000.000-0</t>
        </is>
      </c>
    </row>
    <row r="5">
      <c r="A5" s="2" t="inlineStr">
        <is>
          <t>Espécie do Benefício:</t>
        </is>
      </c>
      <c r="B5" t="inlineStr">
        <is>
          <t>46 - Aposentadoria Especial</t>
        </is>
      </c>
      <c r="D5" s="2" t="inlineStr">
        <is>
          <t>Nº do Processo:</t>
        </is>
      </c>
      <c r="E5" t="inlineStr">
        <is>
          <t>0000000-00.2021.4.01.3800</t>
        </is>
      </c>
    </row>
    <row r="6">
      <c r="A6" s="2" t="inlineStr">
        <is>
          <t>Início do Benefício (DIB):</t>
        </is>
      </c>
      <c r="B6" t="inlineStr">
        <is>
          <t>16/10/2019</t>
        </is>
      </c>
      <c r="D6" s="2" t="inlineStr">
        <is>
          <t>Data da Atualização:</t>
        </is>
      </c>
      <c r="E6" t="inlineStr">
        <is>
          <t>08/05/2025</t>
        </is>
      </c>
    </row>
    <row r="7">
      <c r="A7" s="2" t="inlineStr">
        <is>
          <t>Ajuizamento:</t>
        </is>
      </c>
      <c r="B7" t="inlineStr">
        <is>
          <t>21/01/2021</t>
        </is>
      </c>
      <c r="D7" s="2" t="inlineStr">
        <is>
          <t>Data da Prescrição:</t>
        </is>
      </c>
      <c r="E7" t="inlineStr">
        <is>
          <t>16/10/2019</t>
        </is>
      </c>
    </row>
    <row r="9" ht="32" customHeight="1">
      <c r="A9" s="11" t="inlineStr">
        <is>
          <t>Data</t>
        </is>
      </c>
      <c r="B9" s="11" t="inlineStr">
        <is>
          <t>Valor do Benefício</t>
        </is>
      </c>
      <c r="C9" s="11" t="inlineStr">
        <is>
          <t>Reajuste (%)</t>
        </is>
      </c>
      <c r="D9" s="11" t="inlineStr">
        <is>
          <t>Teto do Benefício</t>
        </is>
      </c>
      <c r="E9" s="11" t="inlineStr">
        <is>
          <t>Salário Mínimo</t>
        </is>
      </c>
      <c r="F9" s="11" t="inlineStr">
        <is>
          <t>Benefício Mensal</t>
        </is>
      </c>
      <c r="G9" s="11" t="inlineStr">
        <is>
          <t>Fração (pró-rata)</t>
        </is>
      </c>
      <c r="H9" s="11" t="inlineStr">
        <is>
          <t>Benefício Considerado</t>
        </is>
      </c>
    </row>
    <row r="10">
      <c r="A10" s="8" t="inlineStr">
        <is>
          <t>10/2019</t>
        </is>
      </c>
      <c r="B10" s="4">
        <f>'Parâmetros'!$B$12</f>
        <v/>
      </c>
      <c r="C10" s="12" t="n"/>
      <c r="D10" s="4" t="n">
        <v>5839.45</v>
      </c>
      <c r="E10" s="4" t="n">
        <v>998</v>
      </c>
      <c r="F10" s="4">
        <f>MAX(E10,MIN(D10,IF(C10="",B10,TRUNC(B10*(1+C10/100),2))))</f>
        <v/>
      </c>
      <c r="G10" s="13" t="n">
        <v>0.5</v>
      </c>
      <c r="H10" s="4">
        <f>TRUNC(F10*G10,2)</f>
        <v/>
      </c>
    </row>
    <row r="11">
      <c r="A11" s="8" t="inlineStr">
        <is>
          <t>11/2019</t>
        </is>
      </c>
      <c r="B11" s="4">
        <f>F10</f>
        <v/>
      </c>
      <c r="C11" s="12" t="n"/>
      <c r="D11" s="4" t="n">
        <v>5839.45</v>
      </c>
      <c r="E11" s="4" t="n">
        <v>998</v>
      </c>
      <c r="F11" s="4">
        <f>MAX(E11,MIN(D11,IF(C11="",B11,TRUNC(B11*(1+C11/100),2))))</f>
        <v/>
      </c>
      <c r="G11" s="13" t="n">
        <v>1</v>
      </c>
      <c r="H11" s="4">
        <f>TRUNC(F11*G11,2)</f>
        <v/>
      </c>
    </row>
    <row r="12">
      <c r="A12" s="8" t="inlineStr">
        <is>
          <t>12/2019</t>
        </is>
      </c>
      <c r="B12" s="4">
        <f>F11</f>
        <v/>
      </c>
      <c r="C12" s="12" t="n"/>
      <c r="D12" s="4" t="n">
        <v>5839.45</v>
      </c>
      <c r="E12" s="4" t="n">
        <v>998</v>
      </c>
      <c r="F12" s="4">
        <f>MAX(E12,MIN(D12,IF(C12="",B12,TRUNC(B12*(1+C12/100),2))))</f>
        <v/>
      </c>
      <c r="G12" s="13" t="n">
        <v>1</v>
      </c>
      <c r="H12" s="4">
        <f>TRUNC(F12*G12,2)</f>
        <v/>
      </c>
    </row>
    <row r="13">
      <c r="A13" s="8" t="inlineStr">
        <is>
          <t>01/2020</t>
        </is>
      </c>
      <c r="B13" s="4">
        <f>F12</f>
        <v/>
      </c>
      <c r="C13" s="12" t="n">
        <v>1.81</v>
      </c>
      <c r="D13" s="4" t="n">
        <v>6101.06</v>
      </c>
      <c r="E13" s="4" t="n">
        <v>1039</v>
      </c>
      <c r="F13" s="4">
        <f>MAX(E13,MIN(D13,IF(C13="",B13,TRUNC(B13*(1+C13/100),2))))</f>
        <v/>
      </c>
      <c r="G13" s="13" t="n">
        <v>1</v>
      </c>
      <c r="H13" s="4">
        <f>TRUNC(F13*G13,2)</f>
        <v/>
      </c>
    </row>
    <row r="14">
      <c r="A14" s="8" t="inlineStr">
        <is>
          <t>02/2020</t>
        </is>
      </c>
      <c r="B14" s="4">
        <f>F13</f>
        <v/>
      </c>
      <c r="C14" s="12" t="n"/>
      <c r="D14" s="4" t="n">
        <v>6101.06</v>
      </c>
      <c r="E14" s="4" t="n">
        <v>1045</v>
      </c>
      <c r="F14" s="4">
        <f>MAX(E14,MIN(D14,IF(C14="",B14,TRUNC(B14*(1+C14/100),2))))</f>
        <v/>
      </c>
      <c r="G14" s="13" t="n">
        <v>1</v>
      </c>
      <c r="H14" s="4">
        <f>TRUNC(F14*G14,2)</f>
        <v/>
      </c>
    </row>
    <row r="15">
      <c r="A15" s="8" t="inlineStr">
        <is>
          <t>03/2020</t>
        </is>
      </c>
      <c r="B15" s="4">
        <f>F14</f>
        <v/>
      </c>
      <c r="C15" s="12" t="n"/>
      <c r="D15" s="4" t="n">
        <v>6101.06</v>
      </c>
      <c r="E15" s="4" t="n">
        <v>1045</v>
      </c>
      <c r="F15" s="4">
        <f>MAX(E15,MIN(D15,IF(C15="",B15,TRUNC(B15*(1+C15/100),2))))</f>
        <v/>
      </c>
      <c r="G15" s="13" t="n">
        <v>1</v>
      </c>
      <c r="H15" s="4">
        <f>TRUNC(F15*G15,2)</f>
        <v/>
      </c>
    </row>
    <row r="16">
      <c r="A16" s="8" t="inlineStr">
        <is>
          <t>04/2020</t>
        </is>
      </c>
      <c r="B16" s="4">
        <f>F15</f>
        <v/>
      </c>
      <c r="C16" s="12" t="n"/>
      <c r="D16" s="4" t="n">
        <v>6101.06</v>
      </c>
      <c r="E16" s="4" t="n">
        <v>1045</v>
      </c>
      <c r="F16" s="4">
        <f>MAX(E16,MIN(D16,IF(C16="",B16,TRUNC(B16*(1+C16/100),2))))</f>
        <v/>
      </c>
      <c r="G16" s="13" t="n">
        <v>1</v>
      </c>
      <c r="H16" s="4">
        <f>TRUNC(F16*G16,2)</f>
        <v/>
      </c>
    </row>
    <row r="17">
      <c r="A17" s="8" t="inlineStr">
        <is>
          <t>05/2020</t>
        </is>
      </c>
      <c r="B17" s="4">
        <f>F16</f>
        <v/>
      </c>
      <c r="C17" s="12" t="n"/>
      <c r="D17" s="4" t="n">
        <v>6101.06</v>
      </c>
      <c r="E17" s="4" t="n">
        <v>1045</v>
      </c>
      <c r="F17" s="4">
        <f>MAX(E17,MIN(D17,IF(C17="",B17,TRUNC(B17*(1+C17/100),2))))</f>
        <v/>
      </c>
      <c r="G17" s="13" t="n">
        <v>1</v>
      </c>
      <c r="H17" s="4">
        <f>TRUNC(F17*G17,2)</f>
        <v/>
      </c>
    </row>
    <row r="18">
      <c r="A18" s="8" t="inlineStr">
        <is>
          <t>06/2020</t>
        </is>
      </c>
      <c r="B18" s="4">
        <f>F17</f>
        <v/>
      </c>
      <c r="C18" s="12" t="n"/>
      <c r="D18" s="4" t="n">
        <v>6101.06</v>
      </c>
      <c r="E18" s="4" t="n">
        <v>1045</v>
      </c>
      <c r="F18" s="4">
        <f>MAX(E18,MIN(D18,IF(C18="",B18,TRUNC(B18*(1+C18/100),2))))</f>
        <v/>
      </c>
      <c r="G18" s="13" t="n">
        <v>1</v>
      </c>
      <c r="H18" s="4">
        <f>TRUNC(F18*G18,2)</f>
        <v/>
      </c>
    </row>
    <row r="19">
      <c r="A19" s="8" t="inlineStr">
        <is>
          <t>07/2020</t>
        </is>
      </c>
      <c r="B19" s="4">
        <f>F18</f>
        <v/>
      </c>
      <c r="C19" s="12" t="n"/>
      <c r="D19" s="4" t="n">
        <v>6101.06</v>
      </c>
      <c r="E19" s="4" t="n">
        <v>1045</v>
      </c>
      <c r="F19" s="4">
        <f>MAX(E19,MIN(D19,IF(C19="",B19,TRUNC(B19*(1+C19/100),2))))</f>
        <v/>
      </c>
      <c r="G19" s="13" t="n">
        <v>1</v>
      </c>
      <c r="H19" s="4">
        <f>TRUNC(F19*G19,2)</f>
        <v/>
      </c>
    </row>
    <row r="20">
      <c r="A20" s="8" t="inlineStr">
        <is>
          <t>08/2020</t>
        </is>
      </c>
      <c r="B20" s="4">
        <f>F19</f>
        <v/>
      </c>
      <c r="C20" s="12" t="n"/>
      <c r="D20" s="4" t="n">
        <v>6101.06</v>
      </c>
      <c r="E20" s="4" t="n">
        <v>1045</v>
      </c>
      <c r="F20" s="4">
        <f>MAX(E20,MIN(D20,IF(C20="",B20,TRUNC(B20*(1+C20/100),2))))</f>
        <v/>
      </c>
      <c r="G20" s="13" t="n">
        <v>1</v>
      </c>
      <c r="H20" s="4">
        <f>TRUNC(F20*G20,2)</f>
        <v/>
      </c>
    </row>
    <row r="21">
      <c r="A21" s="8" t="inlineStr">
        <is>
          <t>09/2020</t>
        </is>
      </c>
      <c r="B21" s="4">
        <f>F20</f>
        <v/>
      </c>
      <c r="C21" s="12" t="n"/>
      <c r="D21" s="4" t="n">
        <v>6101.06</v>
      </c>
      <c r="E21" s="4" t="n">
        <v>1045</v>
      </c>
      <c r="F21" s="4">
        <f>MAX(E21,MIN(D21,IF(C21="",B21,TRUNC(B21*(1+C21/100),2))))</f>
        <v/>
      </c>
      <c r="G21" s="13" t="n">
        <v>1</v>
      </c>
      <c r="H21" s="4">
        <f>TRUNC(F21*G21,2)</f>
        <v/>
      </c>
    </row>
    <row r="22">
      <c r="A22" s="8" t="inlineStr">
        <is>
          <t>10/2020</t>
        </is>
      </c>
      <c r="B22" s="4">
        <f>F21</f>
        <v/>
      </c>
      <c r="C22" s="12" t="n"/>
      <c r="D22" s="4" t="n">
        <v>6101.06</v>
      </c>
      <c r="E22" s="4" t="n">
        <v>1045</v>
      </c>
      <c r="F22" s="4">
        <f>MAX(E22,MIN(D22,IF(C22="",B22,TRUNC(B22*(1+C22/100),2))))</f>
        <v/>
      </c>
      <c r="G22" s="13" t="n">
        <v>1</v>
      </c>
      <c r="H22" s="4">
        <f>TRUNC(F22*G22,2)</f>
        <v/>
      </c>
    </row>
    <row r="23">
      <c r="A23" s="8" t="inlineStr">
        <is>
          <t>11/2020</t>
        </is>
      </c>
      <c r="B23" s="4">
        <f>F22</f>
        <v/>
      </c>
      <c r="C23" s="12" t="n"/>
      <c r="D23" s="4" t="n">
        <v>6101.06</v>
      </c>
      <c r="E23" s="4" t="n">
        <v>1045</v>
      </c>
      <c r="F23" s="4">
        <f>MAX(E23,MIN(D23,IF(C23="",B23,TRUNC(B23*(1+C23/100),2))))</f>
        <v/>
      </c>
      <c r="G23" s="13" t="n">
        <v>1</v>
      </c>
      <c r="H23" s="4">
        <f>TRUNC(F23*G23,2)</f>
        <v/>
      </c>
    </row>
    <row r="24">
      <c r="A24" s="8" t="inlineStr">
        <is>
          <t>12/2020</t>
        </is>
      </c>
      <c r="B24" s="4">
        <f>F23</f>
        <v/>
      </c>
      <c r="C24" s="12" t="n"/>
      <c r="D24" s="4" t="n">
        <v>6101.06</v>
      </c>
      <c r="E24" s="4" t="n">
        <v>1045</v>
      </c>
      <c r="F24" s="4">
        <f>MAX(E24,MIN(D24,IF(C24="",B24,TRUNC(B24*(1+C24/100),2))))</f>
        <v/>
      </c>
      <c r="G24" s="13" t="n">
        <v>1</v>
      </c>
      <c r="H24" s="4">
        <f>TRUNC(F24*G24,2)</f>
        <v/>
      </c>
    </row>
    <row r="25">
      <c r="A25" s="8" t="inlineStr">
        <is>
          <t>01/2021</t>
        </is>
      </c>
      <c r="B25" s="4">
        <f>F24</f>
        <v/>
      </c>
      <c r="C25" s="12" t="n">
        <v>5.45</v>
      </c>
      <c r="D25" s="4" t="n">
        <v>6433.57</v>
      </c>
      <c r="E25" s="4" t="n">
        <v>1100</v>
      </c>
      <c r="F25" s="4">
        <f>MAX(E25,MIN(D25,IF(C25="",B25,TRUNC(B25*(1+C25/100),2))))</f>
        <v/>
      </c>
      <c r="G25" s="13" t="n">
        <v>1</v>
      </c>
      <c r="H25" s="4">
        <f>TRUNC(F25*G25,2)</f>
        <v/>
      </c>
    </row>
    <row r="26">
      <c r="A26" s="8" t="inlineStr">
        <is>
          <t>02/2021</t>
        </is>
      </c>
      <c r="B26" s="4">
        <f>F25</f>
        <v/>
      </c>
      <c r="C26" s="12" t="n"/>
      <c r="D26" s="4" t="n">
        <v>6433.57</v>
      </c>
      <c r="E26" s="4" t="n">
        <v>1100</v>
      </c>
      <c r="F26" s="4">
        <f>MAX(E26,MIN(D26,IF(C26="",B26,TRUNC(B26*(1+C26/100),2))))</f>
        <v/>
      </c>
      <c r="G26" s="13" t="n">
        <v>1</v>
      </c>
      <c r="H26" s="4">
        <f>TRUNC(F26*G26,2)</f>
        <v/>
      </c>
    </row>
    <row r="27">
      <c r="A27" s="8" t="inlineStr">
        <is>
          <t>03/2021</t>
        </is>
      </c>
      <c r="B27" s="4">
        <f>F26</f>
        <v/>
      </c>
      <c r="C27" s="12" t="n"/>
      <c r="D27" s="4" t="n">
        <v>6433.57</v>
      </c>
      <c r="E27" s="4" t="n">
        <v>1100</v>
      </c>
      <c r="F27" s="4">
        <f>MAX(E27,MIN(D27,IF(C27="",B27,TRUNC(B27*(1+C27/100),2))))</f>
        <v/>
      </c>
      <c r="G27" s="13" t="n">
        <v>1</v>
      </c>
      <c r="H27" s="4">
        <f>TRUNC(F27*G27,2)</f>
        <v/>
      </c>
    </row>
    <row r="28">
      <c r="A28" s="8" t="inlineStr">
        <is>
          <t>04/2021</t>
        </is>
      </c>
      <c r="B28" s="4">
        <f>F27</f>
        <v/>
      </c>
      <c r="C28" s="12" t="n"/>
      <c r="D28" s="4" t="n">
        <v>6433.57</v>
      </c>
      <c r="E28" s="4" t="n">
        <v>1100</v>
      </c>
      <c r="F28" s="4">
        <f>MAX(E28,MIN(D28,IF(C28="",B28,TRUNC(B28*(1+C28/100),2))))</f>
        <v/>
      </c>
      <c r="G28" s="13" t="n">
        <v>1</v>
      </c>
      <c r="H28" s="4">
        <f>TRUNC(F28*G28,2)</f>
        <v/>
      </c>
    </row>
    <row r="29">
      <c r="A29" s="8" t="inlineStr">
        <is>
          <t>05/2021</t>
        </is>
      </c>
      <c r="B29" s="4">
        <f>F28</f>
        <v/>
      </c>
      <c r="C29" s="12" t="n"/>
      <c r="D29" s="4" t="n">
        <v>6433.57</v>
      </c>
      <c r="E29" s="4" t="n">
        <v>1100</v>
      </c>
      <c r="F29" s="4">
        <f>MAX(E29,MIN(D29,IF(C29="",B29,TRUNC(B29*(1+C29/100),2))))</f>
        <v/>
      </c>
      <c r="G29" s="13" t="n">
        <v>1</v>
      </c>
      <c r="H29" s="4">
        <f>TRUNC(F29*G29,2)</f>
        <v/>
      </c>
    </row>
    <row r="30">
      <c r="A30" s="8" t="inlineStr">
        <is>
          <t>06/2021</t>
        </is>
      </c>
      <c r="B30" s="4">
        <f>F29</f>
        <v/>
      </c>
      <c r="C30" s="12" t="n"/>
      <c r="D30" s="4" t="n">
        <v>6433.57</v>
      </c>
      <c r="E30" s="4" t="n">
        <v>1100</v>
      </c>
      <c r="F30" s="4">
        <f>MAX(E30,MIN(D30,IF(C30="",B30,TRUNC(B30*(1+C30/100),2))))</f>
        <v/>
      </c>
      <c r="G30" s="13" t="n">
        <v>1</v>
      </c>
      <c r="H30" s="4">
        <f>TRUNC(F30*G30,2)</f>
        <v/>
      </c>
    </row>
    <row r="31">
      <c r="A31" s="8" t="inlineStr">
        <is>
          <t>07/2021</t>
        </is>
      </c>
      <c r="B31" s="4">
        <f>F30</f>
        <v/>
      </c>
      <c r="C31" s="12" t="n"/>
      <c r="D31" s="4" t="n">
        <v>6433.57</v>
      </c>
      <c r="E31" s="4" t="n">
        <v>1100</v>
      </c>
      <c r="F31" s="4">
        <f>MAX(E31,MIN(D31,IF(C31="",B31,TRUNC(B31*(1+C31/100),2))))</f>
        <v/>
      </c>
      <c r="G31" s="13" t="n">
        <v>1</v>
      </c>
      <c r="H31" s="4">
        <f>TRUNC(F31*G31,2)</f>
        <v/>
      </c>
    </row>
    <row r="32">
      <c r="A32" s="8" t="inlineStr">
        <is>
          <t>08/2021</t>
        </is>
      </c>
      <c r="B32" s="4">
        <f>F31</f>
        <v/>
      </c>
      <c r="C32" s="12" t="n"/>
      <c r="D32" s="4" t="n">
        <v>6433.57</v>
      </c>
      <c r="E32" s="4" t="n">
        <v>1100</v>
      </c>
      <c r="F32" s="4">
        <f>MAX(E32,MIN(D32,IF(C32="",B32,TRUNC(B32*(1+C32/100),2))))</f>
        <v/>
      </c>
      <c r="G32" s="13" t="n">
        <v>1</v>
      </c>
      <c r="H32" s="4">
        <f>TRUNC(F32*G32,2)</f>
        <v/>
      </c>
    </row>
    <row r="33">
      <c r="A33" s="8" t="inlineStr">
        <is>
          <t>09/2021</t>
        </is>
      </c>
      <c r="B33" s="4">
        <f>F32</f>
        <v/>
      </c>
      <c r="C33" s="12" t="n"/>
      <c r="D33" s="4" t="n">
        <v>6433.57</v>
      </c>
      <c r="E33" s="4" t="n">
        <v>1100</v>
      </c>
      <c r="F33" s="4">
        <f>MAX(E33,MIN(D33,IF(C33="",B33,TRUNC(B33*(1+C33/100),2))))</f>
        <v/>
      </c>
      <c r="G33" s="13" t="n">
        <v>1</v>
      </c>
      <c r="H33" s="4">
        <f>TRUNC(F33*G33,2)</f>
        <v/>
      </c>
    </row>
    <row r="34">
      <c r="A34" s="8" t="inlineStr">
        <is>
          <t>10/2021</t>
        </is>
      </c>
      <c r="B34" s="4">
        <f>F33</f>
        <v/>
      </c>
      <c r="C34" s="12" t="n"/>
      <c r="D34" s="4" t="n">
        <v>6433.57</v>
      </c>
      <c r="E34" s="4" t="n">
        <v>1100</v>
      </c>
      <c r="F34" s="4">
        <f>MAX(E34,MIN(D34,IF(C34="",B34,TRUNC(B34*(1+C34/100),2))))</f>
        <v/>
      </c>
      <c r="G34" s="13" t="n">
        <v>1</v>
      </c>
      <c r="H34" s="4">
        <f>TRUNC(F34*G34,2)</f>
        <v/>
      </c>
    </row>
    <row r="35">
      <c r="A35" s="8" t="inlineStr">
        <is>
          <t>11/2021</t>
        </is>
      </c>
      <c r="B35" s="4">
        <f>F34</f>
        <v/>
      </c>
      <c r="C35" s="12" t="n"/>
      <c r="D35" s="4" t="n">
        <v>6433.57</v>
      </c>
      <c r="E35" s="4" t="n">
        <v>1100</v>
      </c>
      <c r="F35" s="4">
        <f>MAX(E35,MIN(D35,IF(C35="",B35,TRUNC(B35*(1+C35/100),2))))</f>
        <v/>
      </c>
      <c r="G35" s="13" t="n">
        <v>1</v>
      </c>
      <c r="H35" s="4">
        <f>TRUNC(F35*G35,2)</f>
        <v/>
      </c>
    </row>
    <row r="36">
      <c r="A36" s="8" t="inlineStr">
        <is>
          <t>12/2021</t>
        </is>
      </c>
      <c r="B36" s="4">
        <f>F35</f>
        <v/>
      </c>
      <c r="C36" s="12" t="n"/>
      <c r="D36" s="4" t="n">
        <v>6433.57</v>
      </c>
      <c r="E36" s="4" t="n">
        <v>1100</v>
      </c>
      <c r="F36" s="4">
        <f>MAX(E36,MIN(D36,IF(C36="",B36,TRUNC(B36*(1+C36/100),2))))</f>
        <v/>
      </c>
      <c r="G36" s="13" t="n">
        <v>1</v>
      </c>
      <c r="H36" s="4">
        <f>TRUNC(F36*G36,2)</f>
        <v/>
      </c>
    </row>
    <row r="37">
      <c r="A37" s="8" t="inlineStr">
        <is>
          <t>01/2022</t>
        </is>
      </c>
      <c r="B37" s="4">
        <f>F36</f>
        <v/>
      </c>
      <c r="C37" s="12" t="n">
        <v>10.16</v>
      </c>
      <c r="D37" s="4" t="n">
        <v>7087.22</v>
      </c>
      <c r="E37" s="4" t="n">
        <v>1212</v>
      </c>
      <c r="F37" s="4">
        <f>MAX(E37,MIN(D37,IF(C37="",B37,TRUNC(B37*(1+C37/100),2))))</f>
        <v/>
      </c>
      <c r="G37" s="13" t="n">
        <v>1</v>
      </c>
      <c r="H37" s="4">
        <f>TRUNC(F37*G37,2)</f>
        <v/>
      </c>
    </row>
    <row r="38">
      <c r="A38" s="8" t="inlineStr">
        <is>
          <t>02/2022</t>
        </is>
      </c>
      <c r="B38" s="4">
        <f>F37</f>
        <v/>
      </c>
      <c r="C38" s="12" t="n"/>
      <c r="D38" s="4" t="n">
        <v>7087.22</v>
      </c>
      <c r="E38" s="4" t="n">
        <v>1212</v>
      </c>
      <c r="F38" s="4">
        <f>MAX(E38,MIN(D38,IF(C38="",B38,TRUNC(B38*(1+C38/100),2))))</f>
        <v/>
      </c>
      <c r="G38" s="13" t="n">
        <v>1</v>
      </c>
      <c r="H38" s="4">
        <f>TRUNC(F38*G38,2)</f>
        <v/>
      </c>
    </row>
    <row r="39">
      <c r="A39" s="8" t="inlineStr">
        <is>
          <t>03/2022</t>
        </is>
      </c>
      <c r="B39" s="4">
        <f>F38</f>
        <v/>
      </c>
      <c r="C39" s="12" t="n"/>
      <c r="D39" s="4" t="n">
        <v>7087.22</v>
      </c>
      <c r="E39" s="4" t="n">
        <v>1212</v>
      </c>
      <c r="F39" s="4">
        <f>MAX(E39,MIN(D39,IF(C39="",B39,TRUNC(B39*(1+C39/100),2))))</f>
        <v/>
      </c>
      <c r="G39" s="13" t="n">
        <v>1</v>
      </c>
      <c r="H39" s="4">
        <f>TRUNC(F39*G39,2)</f>
        <v/>
      </c>
    </row>
    <row r="40">
      <c r="A40" s="8" t="inlineStr">
        <is>
          <t>04/2022</t>
        </is>
      </c>
      <c r="B40" s="4">
        <f>F39</f>
        <v/>
      </c>
      <c r="C40" s="12" t="n"/>
      <c r="D40" s="4" t="n">
        <v>7087.22</v>
      </c>
      <c r="E40" s="4" t="n">
        <v>1212</v>
      </c>
      <c r="F40" s="4">
        <f>MAX(E40,MIN(D40,IF(C40="",B40,TRUNC(B40*(1+C40/100),2))))</f>
        <v/>
      </c>
      <c r="G40" s="13" t="n">
        <v>1</v>
      </c>
      <c r="H40" s="4">
        <f>TRUNC(F40*G40,2)</f>
        <v/>
      </c>
    </row>
    <row r="41">
      <c r="A41" s="8" t="inlineStr">
        <is>
          <t>05/2022</t>
        </is>
      </c>
      <c r="B41" s="4">
        <f>F40</f>
        <v/>
      </c>
      <c r="C41" s="12" t="n"/>
      <c r="D41" s="4" t="n">
        <v>7087.22</v>
      </c>
      <c r="E41" s="4" t="n">
        <v>1212</v>
      </c>
      <c r="F41" s="4">
        <f>MAX(E41,MIN(D41,IF(C41="",B41,TRUNC(B41*(1+C41/100),2))))</f>
        <v/>
      </c>
      <c r="G41" s="13" t="n">
        <v>1</v>
      </c>
      <c r="H41" s="4">
        <f>TRUNC(F41*G41,2)</f>
        <v/>
      </c>
    </row>
    <row r="42">
      <c r="A42" s="8" t="inlineStr">
        <is>
          <t>06/2022</t>
        </is>
      </c>
      <c r="B42" s="4">
        <f>F41</f>
        <v/>
      </c>
      <c r="C42" s="12" t="n"/>
      <c r="D42" s="4" t="n">
        <v>7087.22</v>
      </c>
      <c r="E42" s="4" t="n">
        <v>1212</v>
      </c>
      <c r="F42" s="4">
        <f>MAX(E42,MIN(D42,IF(C42="",B42,TRUNC(B42*(1+C42/100),2))))</f>
        <v/>
      </c>
      <c r="G42" s="13" t="n">
        <v>1</v>
      </c>
      <c r="H42" s="4">
        <f>TRUNC(F42*G42,2)</f>
        <v/>
      </c>
    </row>
    <row r="43">
      <c r="A43" s="8" t="inlineStr">
        <is>
          <t>07/2022</t>
        </is>
      </c>
      <c r="B43" s="4">
        <f>F42</f>
        <v/>
      </c>
      <c r="C43" s="12" t="n"/>
      <c r="D43" s="4" t="n">
        <v>7087.22</v>
      </c>
      <c r="E43" s="4" t="n">
        <v>1212</v>
      </c>
      <c r="F43" s="4">
        <f>MAX(E43,MIN(D43,IF(C43="",B43,TRUNC(B43*(1+C43/100),2))))</f>
        <v/>
      </c>
      <c r="G43" s="13" t="n">
        <v>1</v>
      </c>
      <c r="H43" s="4">
        <f>TRUNC(F43*G43,2)</f>
        <v/>
      </c>
    </row>
    <row r="44">
      <c r="A44" s="8" t="inlineStr">
        <is>
          <t>08/2022</t>
        </is>
      </c>
      <c r="B44" s="4">
        <f>F43</f>
        <v/>
      </c>
      <c r="C44" s="12" t="n"/>
      <c r="D44" s="4" t="n">
        <v>7087.22</v>
      </c>
      <c r="E44" s="4" t="n">
        <v>1212</v>
      </c>
      <c r="F44" s="4">
        <f>MAX(E44,MIN(D44,IF(C44="",B44,TRUNC(B44*(1+C44/100),2))))</f>
        <v/>
      </c>
      <c r="G44" s="13" t="n">
        <v>1</v>
      </c>
      <c r="H44" s="4">
        <f>TRUNC(F44*G44,2)</f>
        <v/>
      </c>
    </row>
    <row r="45">
      <c r="A45" s="8" t="inlineStr">
        <is>
          <t>09/2022</t>
        </is>
      </c>
      <c r="B45" s="4">
        <f>F44</f>
        <v/>
      </c>
      <c r="C45" s="12" t="n"/>
      <c r="D45" s="4" t="n">
        <v>7087.22</v>
      </c>
      <c r="E45" s="4" t="n">
        <v>1212</v>
      </c>
      <c r="F45" s="4">
        <f>MAX(E45,MIN(D45,IF(C45="",B45,TRUNC(B45*(1+C45/100),2))))</f>
        <v/>
      </c>
      <c r="G45" s="13" t="n">
        <v>1</v>
      </c>
      <c r="H45" s="4">
        <f>TRUNC(F45*G45,2)</f>
        <v/>
      </c>
    </row>
    <row r="46">
      <c r="A46" s="8" t="inlineStr">
        <is>
          <t>10/2022</t>
        </is>
      </c>
      <c r="B46" s="4">
        <f>F45</f>
        <v/>
      </c>
      <c r="C46" s="12" t="n"/>
      <c r="D46" s="4" t="n">
        <v>7087.22</v>
      </c>
      <c r="E46" s="4" t="n">
        <v>1212</v>
      </c>
      <c r="F46" s="4">
        <f>MAX(E46,MIN(D46,IF(C46="",B46,TRUNC(B46*(1+C46/100),2))))</f>
        <v/>
      </c>
      <c r="G46" s="13" t="n">
        <v>1</v>
      </c>
      <c r="H46" s="4">
        <f>TRUNC(F46*G46,2)</f>
        <v/>
      </c>
    </row>
    <row r="47">
      <c r="A47" s="8" t="inlineStr">
        <is>
          <t>11/2022</t>
        </is>
      </c>
      <c r="B47" s="4">
        <f>F46</f>
        <v/>
      </c>
      <c r="C47" s="12" t="n"/>
      <c r="D47" s="4" t="n">
        <v>7087.22</v>
      </c>
      <c r="E47" s="4" t="n">
        <v>1212</v>
      </c>
      <c r="F47" s="4">
        <f>MAX(E47,MIN(D47,IF(C47="",B47,TRUNC(B47*(1+C47/100),2))))</f>
        <v/>
      </c>
      <c r="G47" s="13" t="n">
        <v>1</v>
      </c>
      <c r="H47" s="4">
        <f>TRUNC(F47*G47,2)</f>
        <v/>
      </c>
    </row>
    <row r="48">
      <c r="A48" s="8" t="inlineStr">
        <is>
          <t>12/2022</t>
        </is>
      </c>
      <c r="B48" s="4">
        <f>F47</f>
        <v/>
      </c>
      <c r="C48" s="12" t="n"/>
      <c r="D48" s="4" t="n">
        <v>7087.22</v>
      </c>
      <c r="E48" s="4" t="n">
        <v>1212</v>
      </c>
      <c r="F48" s="4">
        <f>MAX(E48,MIN(D48,IF(C48="",B48,TRUNC(B48*(1+C48/100),2))))</f>
        <v/>
      </c>
      <c r="G48" s="13" t="n">
        <v>1</v>
      </c>
      <c r="H48" s="4">
        <f>TRUNC(F48*G48,2)</f>
        <v/>
      </c>
    </row>
    <row r="49">
      <c r="A49" s="8" t="inlineStr">
        <is>
          <t>01/2023</t>
        </is>
      </c>
      <c r="B49" s="4">
        <f>F48</f>
        <v/>
      </c>
      <c r="C49" s="12" t="n">
        <v>5.93</v>
      </c>
      <c r="D49" s="4" t="n">
        <v>7507.49</v>
      </c>
      <c r="E49" s="4" t="n">
        <v>1302</v>
      </c>
      <c r="F49" s="4">
        <f>MAX(E49,MIN(D49,IF(C49="",B49,TRUNC(B49*(1+C49/100),2))))</f>
        <v/>
      </c>
      <c r="G49" s="13" t="n">
        <v>1</v>
      </c>
      <c r="H49" s="4">
        <f>TRUNC(F49*G49,2)</f>
        <v/>
      </c>
    </row>
    <row r="50">
      <c r="A50" s="8" t="inlineStr">
        <is>
          <t>02/2023</t>
        </is>
      </c>
      <c r="B50" s="4">
        <f>F49</f>
        <v/>
      </c>
      <c r="C50" s="12" t="n"/>
      <c r="D50" s="4" t="n">
        <v>7507.49</v>
      </c>
      <c r="E50" s="4" t="n">
        <v>1302</v>
      </c>
      <c r="F50" s="4">
        <f>MAX(E50,MIN(D50,IF(C50="",B50,TRUNC(B50*(1+C50/100),2))))</f>
        <v/>
      </c>
      <c r="G50" s="13" t="n">
        <v>1</v>
      </c>
      <c r="H50" s="4">
        <f>TRUNC(F50*G50,2)</f>
        <v/>
      </c>
    </row>
    <row r="51">
      <c r="A51" s="8" t="inlineStr">
        <is>
          <t>03/2023</t>
        </is>
      </c>
      <c r="B51" s="4">
        <f>F50</f>
        <v/>
      </c>
      <c r="C51" s="12" t="n"/>
      <c r="D51" s="4" t="n">
        <v>7507.49</v>
      </c>
      <c r="E51" s="4" t="n">
        <v>1302</v>
      </c>
      <c r="F51" s="4">
        <f>MAX(E51,MIN(D51,IF(C51="",B51,TRUNC(B51*(1+C51/100),2))))</f>
        <v/>
      </c>
      <c r="G51" s="13" t="n">
        <v>1</v>
      </c>
      <c r="H51" s="4">
        <f>TRUNC(F51*G51,2)</f>
        <v/>
      </c>
    </row>
    <row r="52">
      <c r="A52" s="8" t="inlineStr">
        <is>
          <t>04/2023</t>
        </is>
      </c>
      <c r="B52" s="4">
        <f>F51</f>
        <v/>
      </c>
      <c r="C52" s="12" t="n"/>
      <c r="D52" s="4" t="n">
        <v>7507.49</v>
      </c>
      <c r="E52" s="4" t="n">
        <v>1302</v>
      </c>
      <c r="F52" s="4">
        <f>MAX(E52,MIN(D52,IF(C52="",B52,TRUNC(B52*(1+C52/100),2))))</f>
        <v/>
      </c>
      <c r="G52" s="13" t="n">
        <v>1</v>
      </c>
      <c r="H52" s="4">
        <f>TRUNC(F52*G52,2)</f>
        <v/>
      </c>
    </row>
    <row r="53">
      <c r="A53" s="8" t="inlineStr">
        <is>
          <t>05/2023</t>
        </is>
      </c>
      <c r="B53" s="4">
        <f>F52</f>
        <v/>
      </c>
      <c r="C53" s="12" t="n"/>
      <c r="D53" s="4" t="n">
        <v>7507.49</v>
      </c>
      <c r="E53" s="4" t="n">
        <v>1320</v>
      </c>
      <c r="F53" s="4">
        <f>MAX(E53,MIN(D53,IF(C53="",B53,TRUNC(B53*(1+C53/100),2))))</f>
        <v/>
      </c>
      <c r="G53" s="13" t="n">
        <v>1</v>
      </c>
      <c r="H53" s="4">
        <f>TRUNC(F53*G53,2)</f>
        <v/>
      </c>
    </row>
    <row r="54">
      <c r="A54" s="8" t="inlineStr">
        <is>
          <t>06/2023</t>
        </is>
      </c>
      <c r="B54" s="4">
        <f>F53</f>
        <v/>
      </c>
      <c r="C54" s="12" t="n"/>
      <c r="D54" s="4" t="n">
        <v>7507.49</v>
      </c>
      <c r="E54" s="4" t="n">
        <v>1320</v>
      </c>
      <c r="F54" s="4">
        <f>MAX(E54,MIN(D54,IF(C54="",B54,TRUNC(B54*(1+C54/100),2))))</f>
        <v/>
      </c>
      <c r="G54" s="13" t="n">
        <v>1</v>
      </c>
      <c r="H54" s="4">
        <f>TRUNC(F54*G54,2)</f>
        <v/>
      </c>
    </row>
    <row r="55">
      <c r="A55" s="8" t="inlineStr">
        <is>
          <t>07/2023</t>
        </is>
      </c>
      <c r="B55" s="4">
        <f>F54</f>
        <v/>
      </c>
      <c r="C55" s="12" t="n"/>
      <c r="D55" s="4" t="n">
        <v>7507.49</v>
      </c>
      <c r="E55" s="4" t="n">
        <v>1320</v>
      </c>
      <c r="F55" s="4">
        <f>MAX(E55,MIN(D55,IF(C55="",B55,TRUNC(B55*(1+C55/100),2))))</f>
        <v/>
      </c>
      <c r="G55" s="13" t="n">
        <v>1</v>
      </c>
      <c r="H55" s="4">
        <f>TRUNC(F55*G55,2)</f>
        <v/>
      </c>
    </row>
    <row r="56">
      <c r="A56" s="8" t="inlineStr">
        <is>
          <t>08/2023</t>
        </is>
      </c>
      <c r="B56" s="4">
        <f>F55</f>
        <v/>
      </c>
      <c r="C56" s="12" t="n"/>
      <c r="D56" s="4" t="n">
        <v>7507.49</v>
      </c>
      <c r="E56" s="4" t="n">
        <v>1320</v>
      </c>
      <c r="F56" s="4">
        <f>MAX(E56,MIN(D56,IF(C56="",B56,TRUNC(B56*(1+C56/100),2))))</f>
        <v/>
      </c>
      <c r="G56" s="13" t="n">
        <v>1</v>
      </c>
      <c r="H56" s="4">
        <f>TRUNC(F56*G56,2)</f>
        <v/>
      </c>
    </row>
    <row r="57">
      <c r="A57" s="8" t="inlineStr">
        <is>
          <t>09/2023</t>
        </is>
      </c>
      <c r="B57" s="4">
        <f>F56</f>
        <v/>
      </c>
      <c r="C57" s="12" t="n"/>
      <c r="D57" s="4" t="n">
        <v>7507.49</v>
      </c>
      <c r="E57" s="4" t="n">
        <v>1320</v>
      </c>
      <c r="F57" s="4">
        <f>MAX(E57,MIN(D57,IF(C57="",B57,TRUNC(B57*(1+C57/100),2))))</f>
        <v/>
      </c>
      <c r="G57" s="13" t="n">
        <v>1</v>
      </c>
      <c r="H57" s="4">
        <f>TRUNC(F57*G57,2)</f>
        <v/>
      </c>
    </row>
    <row r="58">
      <c r="A58" s="8" t="inlineStr">
        <is>
          <t>10/2023</t>
        </is>
      </c>
      <c r="B58" s="4">
        <f>F57</f>
        <v/>
      </c>
      <c r="C58" s="12" t="n"/>
      <c r="D58" s="4" t="n">
        <v>7507.49</v>
      </c>
      <c r="E58" s="4" t="n">
        <v>1320</v>
      </c>
      <c r="F58" s="4">
        <f>MAX(E58,MIN(D58,IF(C58="",B58,TRUNC(B58*(1+C58/100),2))))</f>
        <v/>
      </c>
      <c r="G58" s="13" t="n">
        <v>1</v>
      </c>
      <c r="H58" s="4">
        <f>TRUNC(F58*G58,2)</f>
        <v/>
      </c>
    </row>
    <row r="59">
      <c r="A59" s="8" t="inlineStr">
        <is>
          <t>11/2023</t>
        </is>
      </c>
      <c r="B59" s="4">
        <f>F58</f>
        <v/>
      </c>
      <c r="C59" s="12" t="n"/>
      <c r="D59" s="4" t="n">
        <v>7507.49</v>
      </c>
      <c r="E59" s="4" t="n">
        <v>1320</v>
      </c>
      <c r="F59" s="4">
        <f>MAX(E59,MIN(D59,IF(C59="",B59,TRUNC(B59*(1+C59/100),2))))</f>
        <v/>
      </c>
      <c r="G59" s="13" t="n">
        <v>1</v>
      </c>
      <c r="H59" s="4">
        <f>TRUNC(F59*G59,2)</f>
        <v/>
      </c>
    </row>
    <row r="60">
      <c r="A60" s="8" t="inlineStr">
        <is>
          <t>12/2023</t>
        </is>
      </c>
      <c r="B60" s="4">
        <f>F59</f>
        <v/>
      </c>
      <c r="C60" s="12" t="n"/>
      <c r="D60" s="4" t="n">
        <v>7507.49</v>
      </c>
      <c r="E60" s="4" t="n">
        <v>1320</v>
      </c>
      <c r="F60" s="4">
        <f>MAX(E60,MIN(D60,IF(C60="",B60,TRUNC(B60*(1+C60/100),2))))</f>
        <v/>
      </c>
      <c r="G60" s="13" t="n">
        <v>1</v>
      </c>
      <c r="H60" s="4">
        <f>TRUNC(F60*G60,2)</f>
        <v/>
      </c>
    </row>
    <row r="61">
      <c r="A61" s="8" t="inlineStr">
        <is>
          <t>01/2024</t>
        </is>
      </c>
      <c r="B61" s="4">
        <f>F60</f>
        <v/>
      </c>
      <c r="C61" s="12" t="n">
        <v>3.71</v>
      </c>
      <c r="D61" s="4" t="n">
        <v>7786.02</v>
      </c>
      <c r="E61" s="4" t="n">
        <v>1412</v>
      </c>
      <c r="F61" s="4">
        <f>MAX(E61,MIN(D61,IF(C61="",B61,TRUNC(B61*(1+C61/100),2))))</f>
        <v/>
      </c>
      <c r="G61" s="13" t="n">
        <v>1</v>
      </c>
      <c r="H61" s="4">
        <f>TRUNC(F61*G61,2)</f>
        <v/>
      </c>
    </row>
    <row r="62">
      <c r="A62" s="8" t="inlineStr">
        <is>
          <t>02/2024</t>
        </is>
      </c>
      <c r="B62" s="4">
        <f>F61</f>
        <v/>
      </c>
      <c r="C62" s="12" t="n"/>
      <c r="D62" s="4" t="n">
        <v>7786.02</v>
      </c>
      <c r="E62" s="4" t="n">
        <v>1412</v>
      </c>
      <c r="F62" s="4">
        <f>MAX(E62,MIN(D62,IF(C62="",B62,TRUNC(B62*(1+C62/100),2))))</f>
        <v/>
      </c>
      <c r="G62" s="13" t="n">
        <v>1</v>
      </c>
      <c r="H62" s="4">
        <f>TRUNC(F62*G62,2)</f>
        <v/>
      </c>
    </row>
    <row r="63">
      <c r="A63" s="8" t="inlineStr">
        <is>
          <t>03/2024</t>
        </is>
      </c>
      <c r="B63" s="4">
        <f>F62</f>
        <v/>
      </c>
      <c r="C63" s="12" t="n"/>
      <c r="D63" s="4" t="n">
        <v>7786.02</v>
      </c>
      <c r="E63" s="4" t="n">
        <v>1412</v>
      </c>
      <c r="F63" s="4">
        <f>MAX(E63,MIN(D63,IF(C63="",B63,TRUNC(B63*(1+C63/100),2))))</f>
        <v/>
      </c>
      <c r="G63" s="13" t="n">
        <v>1</v>
      </c>
      <c r="H63" s="4">
        <f>TRUNC(F63*G63,2)</f>
        <v/>
      </c>
    </row>
    <row r="64">
      <c r="A64" s="8" t="inlineStr">
        <is>
          <t>04/2024</t>
        </is>
      </c>
      <c r="B64" s="4">
        <f>F63</f>
        <v/>
      </c>
      <c r="C64" s="12" t="n"/>
      <c r="D64" s="4" t="n">
        <v>7786.02</v>
      </c>
      <c r="E64" s="4" t="n">
        <v>1412</v>
      </c>
      <c r="F64" s="4">
        <f>MAX(E64,MIN(D64,IF(C64="",B64,TRUNC(B64*(1+C64/100),2))))</f>
        <v/>
      </c>
      <c r="G64" s="13" t="n">
        <v>1</v>
      </c>
      <c r="H64" s="4">
        <f>TRUNC(F64*G64,2)</f>
        <v/>
      </c>
    </row>
    <row r="65">
      <c r="A65" s="8" t="inlineStr">
        <is>
          <t>05/2024</t>
        </is>
      </c>
      <c r="B65" s="4">
        <f>F64</f>
        <v/>
      </c>
      <c r="C65" s="12" t="n"/>
      <c r="D65" s="4" t="n">
        <v>7786.02</v>
      </c>
      <c r="E65" s="4" t="n">
        <v>1412</v>
      </c>
      <c r="F65" s="4">
        <f>MAX(E65,MIN(D65,IF(C65="",B65,TRUNC(B65*(1+C65/100),2))))</f>
        <v/>
      </c>
      <c r="G65" s="13" t="n">
        <v>1</v>
      </c>
      <c r="H65" s="4">
        <f>TRUNC(F65*G65,2)</f>
        <v/>
      </c>
    </row>
    <row r="66">
      <c r="A66" s="8" t="inlineStr">
        <is>
          <t>06/2024</t>
        </is>
      </c>
      <c r="B66" s="4">
        <f>F65</f>
        <v/>
      </c>
      <c r="C66" s="12" t="n"/>
      <c r="D66" s="4" t="n">
        <v>7786.02</v>
      </c>
      <c r="E66" s="4" t="n">
        <v>1412</v>
      </c>
      <c r="F66" s="4">
        <f>MAX(E66,MIN(D66,IF(C66="",B66,TRUNC(B66*(1+C66/100),2))))</f>
        <v/>
      </c>
      <c r="G66" s="13" t="n">
        <v>1</v>
      </c>
      <c r="H66" s="4">
        <f>TRUNC(F66*G66,2)</f>
        <v/>
      </c>
    </row>
    <row r="67">
      <c r="A67" s="8" t="inlineStr">
        <is>
          <t>07/2024</t>
        </is>
      </c>
      <c r="B67" s="4">
        <f>F66</f>
        <v/>
      </c>
      <c r="C67" s="12" t="n"/>
      <c r="D67" s="4" t="n">
        <v>7786.02</v>
      </c>
      <c r="E67" s="4" t="n">
        <v>1412</v>
      </c>
      <c r="F67" s="4">
        <f>MAX(E67,MIN(D67,IF(C67="",B67,TRUNC(B67*(1+C67/100),2))))</f>
        <v/>
      </c>
      <c r="G67" s="13" t="n">
        <v>1</v>
      </c>
      <c r="H67" s="4">
        <f>TRUNC(F67*G67,2)</f>
        <v/>
      </c>
    </row>
    <row r="68">
      <c r="A68" s="8" t="inlineStr">
        <is>
          <t>08/2024</t>
        </is>
      </c>
      <c r="B68" s="4">
        <f>F67</f>
        <v/>
      </c>
      <c r="C68" s="12" t="n"/>
      <c r="D68" s="4" t="n">
        <v>7786.02</v>
      </c>
      <c r="E68" s="4" t="n">
        <v>1412</v>
      </c>
      <c r="F68" s="4">
        <f>MAX(E68,MIN(D68,IF(C68="",B68,TRUNC(B68*(1+C68/100),2))))</f>
        <v/>
      </c>
      <c r="G68" s="13" t="n">
        <v>1</v>
      </c>
      <c r="H68" s="4">
        <f>TRUNC(F68*G68,2)</f>
        <v/>
      </c>
    </row>
    <row r="69">
      <c r="A69" s="8" t="inlineStr">
        <is>
          <t>09/2024</t>
        </is>
      </c>
      <c r="B69" s="4">
        <f>F68</f>
        <v/>
      </c>
      <c r="C69" s="12" t="n"/>
      <c r="D69" s="4" t="n">
        <v>7786.02</v>
      </c>
      <c r="E69" s="4" t="n">
        <v>1412</v>
      </c>
      <c r="F69" s="4">
        <f>MAX(E69,MIN(D69,IF(C69="",B69,TRUNC(B69*(1+C69/100),2))))</f>
        <v/>
      </c>
      <c r="G69" s="13" t="n">
        <v>1</v>
      </c>
      <c r="H69" s="4">
        <f>TRUNC(F69*G69,2)</f>
        <v/>
      </c>
    </row>
    <row r="70">
      <c r="A70" s="8" t="inlineStr">
        <is>
          <t>10/2024</t>
        </is>
      </c>
      <c r="B70" s="4">
        <f>F69</f>
        <v/>
      </c>
      <c r="C70" s="12" t="n"/>
      <c r="D70" s="4" t="n">
        <v>7786.02</v>
      </c>
      <c r="E70" s="4" t="n">
        <v>1412</v>
      </c>
      <c r="F70" s="4">
        <f>MAX(E70,MIN(D70,IF(C70="",B70,TRUNC(B70*(1+C70/100),2))))</f>
        <v/>
      </c>
      <c r="G70" s="13" t="n">
        <v>1</v>
      </c>
      <c r="H70" s="4">
        <f>TRUNC(F70*G70,2)</f>
        <v/>
      </c>
    </row>
    <row r="71">
      <c r="A71" s="8" t="inlineStr">
        <is>
          <t>11/2024</t>
        </is>
      </c>
      <c r="B71" s="4">
        <f>F70</f>
        <v/>
      </c>
      <c r="C71" s="12" t="n"/>
      <c r="D71" s="4" t="n">
        <v>7786.02</v>
      </c>
      <c r="E71" s="4" t="n">
        <v>1412</v>
      </c>
      <c r="F71" s="4">
        <f>MAX(E71,MIN(D71,IF(C71="",B71,TRUNC(B71*(1+C71/100),2))))</f>
        <v/>
      </c>
      <c r="G71" s="13" t="n">
        <v>1</v>
      </c>
      <c r="H71" s="4">
        <f>TRUNC(F71*G71,2)</f>
        <v/>
      </c>
    </row>
    <row r="72">
      <c r="A72" s="8" t="inlineStr">
        <is>
          <t>12/2024</t>
        </is>
      </c>
      <c r="B72" s="4">
        <f>F71</f>
        <v/>
      </c>
      <c r="C72" s="12" t="n"/>
      <c r="D72" s="4" t="n">
        <v>7786.02</v>
      </c>
      <c r="E72" s="4" t="n">
        <v>1412</v>
      </c>
      <c r="F72" s="4">
        <f>MAX(E72,MIN(D72,IF(C72="",B72,TRUNC(B72*(1+C72/100),2))))</f>
        <v/>
      </c>
      <c r="G72" s="13" t="n">
        <v>1</v>
      </c>
      <c r="H72" s="4">
        <f>TRUNC(F72*G72,2)</f>
        <v/>
      </c>
    </row>
    <row r="73">
      <c r="A73" s="8" t="inlineStr">
        <is>
          <t>01/2025</t>
        </is>
      </c>
      <c r="B73" s="4">
        <f>F72</f>
        <v/>
      </c>
      <c r="C73" s="12" t="n">
        <v>4.77</v>
      </c>
      <c r="D73" s="4" t="n">
        <v>8157.41</v>
      </c>
      <c r="E73" s="4" t="n">
        <v>1518</v>
      </c>
      <c r="F73" s="4">
        <f>MAX(E73,MIN(D73,IF(C73="",B73,TRUNC(B73*(1+C73/100),2))))</f>
        <v/>
      </c>
      <c r="G73" s="13" t="n">
        <v>1</v>
      </c>
      <c r="H73" s="4">
        <f>TRUNC(F73*G73,2)</f>
        <v/>
      </c>
    </row>
    <row r="74">
      <c r="A74" s="8" t="inlineStr">
        <is>
          <t>02/2025</t>
        </is>
      </c>
      <c r="B74" s="4">
        <f>F73</f>
        <v/>
      </c>
      <c r="C74" s="12" t="n"/>
      <c r="D74" s="4" t="n">
        <v>8157.41</v>
      </c>
      <c r="E74" s="4" t="n">
        <v>1518</v>
      </c>
      <c r="F74" s="4">
        <f>MAX(E74,MIN(D74,IF(C74="",B74,TRUNC(B74*(1+C74/100),2))))</f>
        <v/>
      </c>
      <c r="G74" s="13" t="n">
        <v>1</v>
      </c>
      <c r="H74" s="4">
        <f>TRUNC(F74*G74,2)</f>
        <v/>
      </c>
    </row>
    <row r="75">
      <c r="A75" s="8" t="inlineStr">
        <is>
          <t>03/2025</t>
        </is>
      </c>
      <c r="B75" s="4">
        <f>F74</f>
        <v/>
      </c>
      <c r="C75" s="12" t="n"/>
      <c r="D75" s="4" t="n">
        <v>8157.41</v>
      </c>
      <c r="E75" s="4" t="n">
        <v>1518</v>
      </c>
      <c r="F75" s="4">
        <f>MAX(E75,MIN(D75,IF(C75="",B75,TRUNC(B75*(1+C75/100),2))))</f>
        <v/>
      </c>
      <c r="G75" s="13" t="n">
        <v>1</v>
      </c>
      <c r="H75" s="4">
        <f>TRUNC(F75*G75,2)</f>
        <v/>
      </c>
    </row>
    <row r="76">
      <c r="A76" s="8" t="inlineStr">
        <is>
          <t>04/2025</t>
        </is>
      </c>
      <c r="B76" s="4">
        <f>F75</f>
        <v/>
      </c>
      <c r="C76" s="12" t="n"/>
      <c r="D76" s="4" t="n">
        <v>8157.41</v>
      </c>
      <c r="E76" s="4" t="n">
        <v>1518</v>
      </c>
      <c r="F76" s="4">
        <f>MAX(E76,MIN(D76,IF(C76="",B76,TRUNC(B76*(1+C76/100),2))))</f>
        <v/>
      </c>
      <c r="G76" s="13" t="n">
        <v>1</v>
      </c>
      <c r="H76" s="4">
        <f>TRUNC(F76*G76,2)</f>
        <v/>
      </c>
    </row>
    <row r="77">
      <c r="A77" s="8" t="inlineStr">
        <is>
          <t>05/2025</t>
        </is>
      </c>
      <c r="B77" s="4">
        <f>F76</f>
        <v/>
      </c>
      <c r="C77" s="12" t="n"/>
      <c r="D77" s="4" t="n">
        <v>8157.41</v>
      </c>
      <c r="E77" s="4" t="n">
        <v>1518</v>
      </c>
      <c r="F77" s="4">
        <f>MAX(E77,MIN(D77,IF(C77="",B77,TRUNC(B77*(1+C77/100),2))))</f>
        <v/>
      </c>
      <c r="G77" s="13" t="n">
        <v>1</v>
      </c>
      <c r="H77" s="4">
        <f>TRUNC(F77*G77,2)</f>
        <v/>
      </c>
    </row>
    <row r="79">
      <c r="A79" s="2" t="inlineStr">
        <is>
          <t>Nova R.M.A.:</t>
        </is>
      </c>
      <c r="B79" s="5">
        <f>F77</f>
        <v/>
      </c>
    </row>
    <row r="80">
      <c r="A80" t="inlineStr">
        <is>
          <t>Pró-rata no mês inicial (data da DIB ou da prescrição) e no mês final, proporcional ao número de dias (mês comercial de 30 dias). Valores truncados em centavos. 1º reajuste proporcional ao INPC do mês da DIB a dezembro.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97"/>
  <sheetViews>
    <sheetView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4" customWidth="1" min="4" max="4"/>
    <col width="12" customWidth="1" min="5" max="5"/>
    <col width="14" customWidth="1" min="6" max="6"/>
    <col width="9" customWidth="1" min="7" max="7"/>
    <col width="13" customWidth="1" min="8" max="8"/>
    <col width="15" customWidth="1" min="9" max="9"/>
    <col width="9" customWidth="1" min="10" max="10"/>
    <col width="13" customWidth="1" min="11" max="11"/>
    <col width="15" customWidth="1" min="12" max="12"/>
    <col width="14" customWidth="1" min="13" max="13"/>
    <col width="14" customWidth="1" min="14" max="14"/>
    <col width="7" customWidth="1" min="15" max="15"/>
    <col width="8" customWidth="1" min="16" max="16"/>
  </cols>
  <sheetData>
    <row r="1">
      <c r="A1" s="1" t="inlineStr">
        <is>
          <t>Relatório das Diferenças Não Recebidas</t>
        </is>
      </c>
    </row>
    <row r="2">
      <c r="A2" s="2" t="inlineStr">
        <is>
          <t>Nome do Segurado:</t>
        </is>
      </c>
      <c r="B2" t="inlineStr">
        <is>
          <t>SEGURADO EXEMPLO</t>
        </is>
      </c>
      <c r="D2" s="2" t="inlineStr">
        <is>
          <t>NIT:</t>
        </is>
      </c>
      <c r="E2" t="inlineStr">
        <is>
          <t>000.00000.00-0</t>
        </is>
      </c>
    </row>
    <row r="3">
      <c r="A3" s="2" t="inlineStr">
        <is>
          <t>CPF:</t>
        </is>
      </c>
      <c r="B3" t="inlineStr">
        <is>
          <t>000.000.000-00</t>
        </is>
      </c>
      <c r="D3" s="2" t="inlineStr">
        <is>
          <t>Data de Nascimento:</t>
        </is>
      </c>
      <c r="E3" t="inlineStr">
        <is>
          <t>13/08/1976</t>
        </is>
      </c>
    </row>
    <row r="4">
      <c r="A4" s="2" t="inlineStr">
        <is>
          <t>Sexo:</t>
        </is>
      </c>
      <c r="B4" t="inlineStr">
        <is>
          <t>Masculino</t>
        </is>
      </c>
      <c r="D4" s="2" t="inlineStr">
        <is>
          <t>Nº do Benefício:</t>
        </is>
      </c>
      <c r="E4" t="inlineStr">
        <is>
          <t>000.000.000-0</t>
        </is>
      </c>
    </row>
    <row r="5">
      <c r="A5" s="2" t="inlineStr">
        <is>
          <t>Espécie do Benefício:</t>
        </is>
      </c>
      <c r="B5" t="inlineStr">
        <is>
          <t>46 - Aposentadoria Especial</t>
        </is>
      </c>
      <c r="D5" s="2" t="inlineStr">
        <is>
          <t>Nº do Processo:</t>
        </is>
      </c>
      <c r="E5" t="inlineStr">
        <is>
          <t>0000000-00.2021.4.01.3800</t>
        </is>
      </c>
    </row>
    <row r="6">
      <c r="A6" s="2" t="inlineStr">
        <is>
          <t>Início do Benefício (DIB):</t>
        </is>
      </c>
      <c r="B6" t="inlineStr">
        <is>
          <t>16/10/2019</t>
        </is>
      </c>
      <c r="D6" s="2" t="inlineStr">
        <is>
          <t>Data da Atualização:</t>
        </is>
      </c>
      <c r="E6" t="inlineStr">
        <is>
          <t>08/05/2025</t>
        </is>
      </c>
    </row>
    <row r="7">
      <c r="A7" s="2" t="inlineStr">
        <is>
          <t>Ajuizamento:</t>
        </is>
      </c>
      <c r="B7" t="inlineStr">
        <is>
          <t>21/01/2021</t>
        </is>
      </c>
      <c r="D7" s="2" t="inlineStr">
        <is>
          <t>Data da Prescrição:</t>
        </is>
      </c>
      <c r="E7" t="inlineStr">
        <is>
          <t>16/10/2019</t>
        </is>
      </c>
    </row>
    <row r="9">
      <c r="A9" s="14" t="inlineStr">
        <is>
          <t>Correção monetária: Tabela da Justiça Federal (INPC; IGP-DI de 05/1996 a 08/2006), pró-rata no 1º mês, até 11/2021.</t>
        </is>
      </c>
    </row>
    <row r="10">
      <c r="A10" s="14" t="inlineStr">
        <is>
          <t>Juros de mora a partir da citação: 1% a.m. até 06/2009; 0,5% a.m. até 04/2012; juros da poupança (Lei 12.703/2012) até 11/2021 — sem capitalização.</t>
        </is>
      </c>
    </row>
    <row r="11">
      <c r="A11" s="14" t="inlineStr">
        <is>
          <t>De 12/2021 a 08/2025: SELIC acumulada (simples), uma única vez, substituindo correção e juros (EC 113/2021, art. 3º; Tema 1.419/STF).</t>
        </is>
      </c>
    </row>
    <row r="12">
      <c r="A12" s="14" t="inlineStr">
        <is>
          <t>Diferenças consideradas de 16/10/2019 a 28/02/2025.</t>
        </is>
      </c>
    </row>
    <row r="14" ht="32" customHeight="1">
      <c r="A14" s="11" t="inlineStr">
        <is>
          <t>Data</t>
        </is>
      </c>
      <c r="B14" s="11" t="inlineStr">
        <is>
          <t>Valor do Benefício</t>
        </is>
      </c>
      <c r="C14" s="11" t="inlineStr">
        <is>
          <t>Valor Já Recebido</t>
        </is>
      </c>
      <c r="D14" s="11" t="inlineStr">
        <is>
          <t>Diferença</t>
        </is>
      </c>
      <c r="E14" s="11" t="inlineStr">
        <is>
          <t>Índice de Atualização</t>
        </is>
      </c>
      <c r="F14" s="11" t="inlineStr">
        <is>
          <t>Valor Atualizado</t>
        </is>
      </c>
      <c r="G14" s="11" t="inlineStr">
        <is>
          <t>% Juros</t>
        </is>
      </c>
      <c r="H14" s="11" t="inlineStr">
        <is>
          <t>Valor dos Juros</t>
        </is>
      </c>
      <c r="I14" s="11" t="inlineStr">
        <is>
          <t>Valor Atualizado + Juros</t>
        </is>
      </c>
      <c r="J14" s="11" t="inlineStr">
        <is>
          <t>% Selic</t>
        </is>
      </c>
      <c r="K14" s="11" t="inlineStr">
        <is>
          <t>Valor da Selic</t>
        </is>
      </c>
      <c r="L14" s="11" t="inlineStr">
        <is>
          <t>Total Atualizado</t>
        </is>
      </c>
      <c r="M14" s="11" t="inlineStr">
        <is>
          <t>Base atualizada</t>
        </is>
      </c>
      <c r="N14" s="11" t="inlineStr">
        <is>
          <t>Juros (todos)</t>
        </is>
      </c>
      <c r="O14" s="11" t="inlineStr">
        <is>
          <t>Ano</t>
        </is>
      </c>
      <c r="P14" s="11" t="inlineStr">
        <is>
          <t>Tipo</t>
        </is>
      </c>
    </row>
    <row r="15">
      <c r="A15" s="8" t="inlineStr">
        <is>
          <t>10/2019</t>
        </is>
      </c>
      <c r="B15" s="4">
        <f>'Evolução RMI'!H10</f>
        <v/>
      </c>
      <c r="C15" s="9" t="n">
        <v>0</v>
      </c>
      <c r="D15" s="4">
        <f>B15-C15</f>
        <v/>
      </c>
      <c r="E15" s="12" t="n">
        <v>1.1738057356</v>
      </c>
      <c r="F15" s="4">
        <f>ROUND(D15*E15,2)</f>
        <v/>
      </c>
      <c r="G15" s="10" t="n">
        <v>0.7987</v>
      </c>
      <c r="H15" s="4">
        <f>ROUND(F15*G15/100,2)</f>
        <v/>
      </c>
      <c r="I15" s="4">
        <f>F15+H15</f>
        <v/>
      </c>
      <c r="J15" s="10" t="n">
        <v>39.21</v>
      </c>
      <c r="K15" s="4">
        <f>ROUND(I15*J15/100,2)</f>
        <v/>
      </c>
      <c r="L15" s="4">
        <f>I15+K15</f>
        <v/>
      </c>
      <c r="M15" s="4">
        <f>F15</f>
        <v/>
      </c>
      <c r="N15" s="4">
        <f>H15+K15</f>
        <v/>
      </c>
      <c r="O15" s="15" t="n">
        <v>2019</v>
      </c>
      <c r="P15" s="8" t="inlineStr">
        <is>
          <t>mensal</t>
        </is>
      </c>
    </row>
    <row r="16">
      <c r="A16" s="8" t="inlineStr">
        <is>
          <t>11/2019</t>
        </is>
      </c>
      <c r="B16" s="4">
        <f>'Evolução RMI'!H11</f>
        <v/>
      </c>
      <c r="C16" s="9" t="n">
        <v>0</v>
      </c>
      <c r="D16" s="4">
        <f>B16-C16</f>
        <v/>
      </c>
      <c r="E16" s="12" t="n">
        <v>1.1735634516</v>
      </c>
      <c r="F16" s="4">
        <f>ROUND(D16*E16,2)</f>
        <v/>
      </c>
      <c r="G16" s="10" t="n">
        <v>0.7987</v>
      </c>
      <c r="H16" s="4">
        <f>ROUND(F16*G16/100,2)</f>
        <v/>
      </c>
      <c r="I16" s="4">
        <f>F16+H16</f>
        <v/>
      </c>
      <c r="J16" s="10" t="n">
        <v>39.21</v>
      </c>
      <c r="K16" s="4">
        <f>ROUND(I16*J16/100,2)</f>
        <v/>
      </c>
      <c r="L16" s="4">
        <f>I16+K16</f>
        <v/>
      </c>
      <c r="M16" s="4">
        <f>F16</f>
        <v/>
      </c>
      <c r="N16" s="4">
        <f>H16+K16</f>
        <v/>
      </c>
      <c r="O16" s="15" t="n">
        <v>2019</v>
      </c>
      <c r="P16" s="8" t="inlineStr">
        <is>
          <t>mensal</t>
        </is>
      </c>
    </row>
    <row r="17">
      <c r="A17" s="8" t="inlineStr">
        <is>
          <t>12/2019</t>
        </is>
      </c>
      <c r="B17" s="4">
        <f>'Evolução RMI'!H12</f>
        <v/>
      </c>
      <c r="C17" s="9" t="n">
        <v>0</v>
      </c>
      <c r="D17" s="4">
        <f>B17-C17</f>
        <v/>
      </c>
      <c r="E17" s="12" t="n">
        <v>1.1672602462</v>
      </c>
      <c r="F17" s="4">
        <f>ROUND(D17*E17,2)</f>
        <v/>
      </c>
      <c r="G17" s="10" t="n">
        <v>0.7987</v>
      </c>
      <c r="H17" s="4">
        <f>ROUND(F17*G17/100,2)</f>
        <v/>
      </c>
      <c r="I17" s="4">
        <f>F17+H17</f>
        <v/>
      </c>
      <c r="J17" s="10" t="n">
        <v>39.21</v>
      </c>
      <c r="K17" s="4">
        <f>ROUND(I17*J17/100,2)</f>
        <v/>
      </c>
      <c r="L17" s="4">
        <f>I17+K17</f>
        <v/>
      </c>
      <c r="M17" s="4">
        <f>F17</f>
        <v/>
      </c>
      <c r="N17" s="4">
        <f>H17+K17</f>
        <v/>
      </c>
      <c r="O17" s="15" t="n">
        <v>2019</v>
      </c>
      <c r="P17" s="8" t="inlineStr">
        <is>
          <t>mensal</t>
        </is>
      </c>
    </row>
    <row r="18">
      <c r="A18" s="8" t="inlineStr">
        <is>
          <t>13º</t>
        </is>
      </c>
      <c r="B18" s="4">
        <f>TRUNC('Evolução RMI'!F12*3/12,2)</f>
        <v/>
      </c>
      <c r="C18" s="9" t="n">
        <v>0</v>
      </c>
      <c r="D18" s="4">
        <f>B18-C18</f>
        <v/>
      </c>
      <c r="E18" s="12" t="n">
        <v>1.1672602462</v>
      </c>
      <c r="F18" s="4">
        <f>ROUND(D18*E18,2)</f>
        <v/>
      </c>
      <c r="G18" s="10" t="n">
        <v>0.7987</v>
      </c>
      <c r="H18" s="4">
        <f>ROUND(F18*G18/100,2)</f>
        <v/>
      </c>
      <c r="I18" s="4">
        <f>F18+H18</f>
        <v/>
      </c>
      <c r="J18" s="10" t="n">
        <v>39.21</v>
      </c>
      <c r="K18" s="4">
        <f>ROUND(I18*J18/100,2)</f>
        <v/>
      </c>
      <c r="L18" s="4">
        <f>I18+K18</f>
        <v/>
      </c>
      <c r="M18" s="4">
        <f>F18</f>
        <v/>
      </c>
      <c r="N18" s="4">
        <f>H18+K18</f>
        <v/>
      </c>
      <c r="O18" s="15" t="n">
        <v>2019</v>
      </c>
      <c r="P18" s="8" t="inlineStr">
        <is>
          <t>13º</t>
        </is>
      </c>
    </row>
    <row r="19">
      <c r="A19" s="8" t="inlineStr">
        <is>
          <t>01/2020</t>
        </is>
      </c>
      <c r="B19" s="4">
        <f>'Evolução RMI'!H13</f>
        <v/>
      </c>
      <c r="C19" s="9" t="n">
        <v>0</v>
      </c>
      <c r="D19" s="4">
        <f>B19-C19</f>
        <v/>
      </c>
      <c r="E19" s="12" t="n">
        <v>1.1531913122</v>
      </c>
      <c r="F19" s="4">
        <f>ROUND(D19*E19,2)</f>
        <v/>
      </c>
      <c r="G19" s="10" t="n">
        <v>0.7987</v>
      </c>
      <c r="H19" s="4">
        <f>ROUND(F19*G19/100,2)</f>
        <v/>
      </c>
      <c r="I19" s="4">
        <f>F19+H19</f>
        <v/>
      </c>
      <c r="J19" s="10" t="n">
        <v>39.21</v>
      </c>
      <c r="K19" s="4">
        <f>ROUND(I19*J19/100,2)</f>
        <v/>
      </c>
      <c r="L19" s="4">
        <f>I19+K19</f>
        <v/>
      </c>
      <c r="M19" s="4">
        <f>F19</f>
        <v/>
      </c>
      <c r="N19" s="4">
        <f>H19+K19</f>
        <v/>
      </c>
      <c r="O19" s="15" t="n">
        <v>2020</v>
      </c>
      <c r="P19" s="8" t="inlineStr">
        <is>
          <t>mensal</t>
        </is>
      </c>
    </row>
    <row r="20">
      <c r="A20" s="8" t="inlineStr">
        <is>
          <t>02/2020</t>
        </is>
      </c>
      <c r="B20" s="4">
        <f>'Evolução RMI'!H14</f>
        <v/>
      </c>
      <c r="C20" s="9" t="n">
        <v>0</v>
      </c>
      <c r="D20" s="4">
        <f>B20-C20</f>
        <v/>
      </c>
      <c r="E20" s="12" t="n">
        <v>1.1510044039</v>
      </c>
      <c r="F20" s="4">
        <f>ROUND(D20*E20,2)</f>
        <v/>
      </c>
      <c r="G20" s="10" t="n">
        <v>0.7987</v>
      </c>
      <c r="H20" s="4">
        <f>ROUND(F20*G20/100,2)</f>
        <v/>
      </c>
      <c r="I20" s="4">
        <f>F20+H20</f>
        <v/>
      </c>
      <c r="J20" s="10" t="n">
        <v>39.21</v>
      </c>
      <c r="K20" s="4">
        <f>ROUND(I20*J20/100,2)</f>
        <v/>
      </c>
      <c r="L20" s="4">
        <f>I20+K20</f>
        <v/>
      </c>
      <c r="M20" s="4">
        <f>F20</f>
        <v/>
      </c>
      <c r="N20" s="4">
        <f>H20+K20</f>
        <v/>
      </c>
      <c r="O20" s="15" t="n">
        <v>2020</v>
      </c>
      <c r="P20" s="8" t="inlineStr">
        <is>
          <t>mensal</t>
        </is>
      </c>
    </row>
    <row r="21">
      <c r="A21" s="8" t="inlineStr">
        <is>
          <t>03/2020</t>
        </is>
      </c>
      <c r="B21" s="4">
        <f>'Evolução RMI'!H15</f>
        <v/>
      </c>
      <c r="C21" s="9" t="n">
        <v>0</v>
      </c>
      <c r="D21" s="4">
        <f>B21-C21</f>
        <v/>
      </c>
      <c r="E21" s="12" t="n">
        <v>1.1490510171</v>
      </c>
      <c r="F21" s="4">
        <f>ROUND(D21*E21,2)</f>
        <v/>
      </c>
      <c r="G21" s="10" t="n">
        <v>0.7987</v>
      </c>
      <c r="H21" s="4">
        <f>ROUND(F21*G21/100,2)</f>
        <v/>
      </c>
      <c r="I21" s="4">
        <f>F21+H21</f>
        <v/>
      </c>
      <c r="J21" s="10" t="n">
        <v>39.21</v>
      </c>
      <c r="K21" s="4">
        <f>ROUND(I21*J21/100,2)</f>
        <v/>
      </c>
      <c r="L21" s="4">
        <f>I21+K21</f>
        <v/>
      </c>
      <c r="M21" s="4">
        <f>F21</f>
        <v/>
      </c>
      <c r="N21" s="4">
        <f>H21+K21</f>
        <v/>
      </c>
      <c r="O21" s="15" t="n">
        <v>2020</v>
      </c>
      <c r="P21" s="8" t="inlineStr">
        <is>
          <t>mensal</t>
        </is>
      </c>
    </row>
    <row r="22">
      <c r="A22" s="8" t="inlineStr">
        <is>
          <t>04/2020</t>
        </is>
      </c>
      <c r="B22" s="4">
        <f>'Evolução RMI'!H16</f>
        <v/>
      </c>
      <c r="C22" s="9" t="n">
        <v>0</v>
      </c>
      <c r="D22" s="4">
        <f>B22-C22</f>
        <v/>
      </c>
      <c r="E22" s="12" t="n">
        <v>1.1469864415</v>
      </c>
      <c r="F22" s="4">
        <f>ROUND(D22*E22,2)</f>
        <v/>
      </c>
      <c r="G22" s="10" t="n">
        <v>0.7987</v>
      </c>
      <c r="H22" s="4">
        <f>ROUND(F22*G22/100,2)</f>
        <v/>
      </c>
      <c r="I22" s="4">
        <f>F22+H22</f>
        <v/>
      </c>
      <c r="J22" s="10" t="n">
        <v>39.21</v>
      </c>
      <c r="K22" s="4">
        <f>ROUND(I22*J22/100,2)</f>
        <v/>
      </c>
      <c r="L22" s="4">
        <f>I22+K22</f>
        <v/>
      </c>
      <c r="M22" s="4">
        <f>F22</f>
        <v/>
      </c>
      <c r="N22" s="4">
        <f>H22+K22</f>
        <v/>
      </c>
      <c r="O22" s="15" t="n">
        <v>2020</v>
      </c>
      <c r="P22" s="8" t="inlineStr">
        <is>
          <t>mensal</t>
        </is>
      </c>
    </row>
    <row r="23">
      <c r="A23" s="8" t="inlineStr">
        <is>
          <t>13º</t>
        </is>
      </c>
      <c r="B23" s="4">
        <f>TRUNC('Evolução RMI'!F16/2,2)</f>
        <v/>
      </c>
      <c r="C23" s="9" t="n">
        <v>0</v>
      </c>
      <c r="D23" s="4">
        <f>B23-C23</f>
        <v/>
      </c>
      <c r="E23" s="12" t="n">
        <v>1.1469864415</v>
      </c>
      <c r="F23" s="4">
        <f>ROUND(D23*E23,2)</f>
        <v/>
      </c>
      <c r="G23" s="10" t="n">
        <v>0.7987</v>
      </c>
      <c r="H23" s="4">
        <f>ROUND(F23*G23/100,2)</f>
        <v/>
      </c>
      <c r="I23" s="4">
        <f>F23+H23</f>
        <v/>
      </c>
      <c r="J23" s="10" t="n">
        <v>39.21</v>
      </c>
      <c r="K23" s="4">
        <f>ROUND(I23*J23/100,2)</f>
        <v/>
      </c>
      <c r="L23" s="4">
        <f>I23+K23</f>
        <v/>
      </c>
      <c r="M23" s="4">
        <f>F23</f>
        <v/>
      </c>
      <c r="N23" s="4">
        <f>H23+K23</f>
        <v/>
      </c>
      <c r="O23" s="15" t="n">
        <v>2020</v>
      </c>
      <c r="P23" s="8" t="inlineStr">
        <is>
          <t>13º</t>
        </is>
      </c>
    </row>
    <row r="24">
      <c r="A24" s="8" t="inlineStr">
        <is>
          <t>05/2020</t>
        </is>
      </c>
      <c r="B24" s="4">
        <f>'Evolução RMI'!H17</f>
        <v/>
      </c>
      <c r="C24" s="9" t="n">
        <v>0</v>
      </c>
      <c r="D24" s="4">
        <f>B24-C24</f>
        <v/>
      </c>
      <c r="E24" s="12" t="n">
        <v>1.1496305919</v>
      </c>
      <c r="F24" s="4">
        <f>ROUND(D24*E24,2)</f>
        <v/>
      </c>
      <c r="G24" s="10" t="n">
        <v>0.7987</v>
      </c>
      <c r="H24" s="4">
        <f>ROUND(F24*G24/100,2)</f>
        <v/>
      </c>
      <c r="I24" s="4">
        <f>F24+H24</f>
        <v/>
      </c>
      <c r="J24" s="10" t="n">
        <v>39.21</v>
      </c>
      <c r="K24" s="4">
        <f>ROUND(I24*J24/100,2)</f>
        <v/>
      </c>
      <c r="L24" s="4">
        <f>I24+K24</f>
        <v/>
      </c>
      <c r="M24" s="4">
        <f>F24</f>
        <v/>
      </c>
      <c r="N24" s="4">
        <f>H24+K24</f>
        <v/>
      </c>
      <c r="O24" s="15" t="n">
        <v>2020</v>
      </c>
      <c r="P24" s="8" t="inlineStr">
        <is>
          <t>mensal</t>
        </is>
      </c>
    </row>
    <row r="25">
      <c r="A25" s="8" t="inlineStr">
        <is>
          <t>13º</t>
        </is>
      </c>
      <c r="B25" s="4">
        <f>TRUNC('Evolução RMI'!F17*12/12-'Evolução RMI'!F16/2,2)</f>
        <v/>
      </c>
      <c r="C25" s="9" t="n">
        <v>0</v>
      </c>
      <c r="D25" s="4">
        <f>B25-C25</f>
        <v/>
      </c>
      <c r="E25" s="12" t="n">
        <v>1.1496305919</v>
      </c>
      <c r="F25" s="4">
        <f>ROUND(D25*E25,2)</f>
        <v/>
      </c>
      <c r="G25" s="10" t="n">
        <v>0.7987</v>
      </c>
      <c r="H25" s="4">
        <f>ROUND(F25*G25/100,2)</f>
        <v/>
      </c>
      <c r="I25" s="4">
        <f>F25+H25</f>
        <v/>
      </c>
      <c r="J25" s="10" t="n">
        <v>39.21</v>
      </c>
      <c r="K25" s="4">
        <f>ROUND(I25*J25/100,2)</f>
        <v/>
      </c>
      <c r="L25" s="4">
        <f>I25+K25</f>
        <v/>
      </c>
      <c r="M25" s="4">
        <f>F25</f>
        <v/>
      </c>
      <c r="N25" s="4">
        <f>H25+K25</f>
        <v/>
      </c>
      <c r="O25" s="15" t="n">
        <v>2020</v>
      </c>
      <c r="P25" s="8" t="inlineStr">
        <is>
          <t>13º</t>
        </is>
      </c>
    </row>
    <row r="26">
      <c r="A26" s="8" t="inlineStr">
        <is>
          <t>06/2020</t>
        </is>
      </c>
      <c r="B26" s="4">
        <f>'Evolução RMI'!H18</f>
        <v/>
      </c>
      <c r="C26" s="9" t="n">
        <v>0</v>
      </c>
      <c r="D26" s="4">
        <f>B26-C26</f>
        <v/>
      </c>
      <c r="E26" s="12" t="n">
        <v>1.1525118716</v>
      </c>
      <c r="F26" s="4">
        <f>ROUND(D26*E26,2)</f>
        <v/>
      </c>
      <c r="G26" s="10" t="n">
        <v>0.7987</v>
      </c>
      <c r="H26" s="4">
        <f>ROUND(F26*G26/100,2)</f>
        <v/>
      </c>
      <c r="I26" s="4">
        <f>F26+H26</f>
        <v/>
      </c>
      <c r="J26" s="10" t="n">
        <v>39.21</v>
      </c>
      <c r="K26" s="4">
        <f>ROUND(I26*J26/100,2)</f>
        <v/>
      </c>
      <c r="L26" s="4">
        <f>I26+K26</f>
        <v/>
      </c>
      <c r="M26" s="4">
        <f>F26</f>
        <v/>
      </c>
      <c r="N26" s="4">
        <f>H26+K26</f>
        <v/>
      </c>
      <c r="O26" s="15" t="n">
        <v>2020</v>
      </c>
      <c r="P26" s="8" t="inlineStr">
        <is>
          <t>mensal</t>
        </is>
      </c>
    </row>
    <row r="27">
      <c r="A27" s="8" t="inlineStr">
        <is>
          <t>07/2020</t>
        </is>
      </c>
      <c r="B27" s="4">
        <f>'Evolução RMI'!H19</f>
        <v/>
      </c>
      <c r="C27" s="9" t="n">
        <v>0</v>
      </c>
      <c r="D27" s="4">
        <f>B27-C27</f>
        <v/>
      </c>
      <c r="E27" s="12" t="n">
        <v>1.1490646775</v>
      </c>
      <c r="F27" s="4">
        <f>ROUND(D27*E27,2)</f>
        <v/>
      </c>
      <c r="G27" s="10" t="n">
        <v>0.7987</v>
      </c>
      <c r="H27" s="4">
        <f>ROUND(F27*G27/100,2)</f>
        <v/>
      </c>
      <c r="I27" s="4">
        <f>F27+H27</f>
        <v/>
      </c>
      <c r="J27" s="10" t="n">
        <v>39.21</v>
      </c>
      <c r="K27" s="4">
        <f>ROUND(I27*J27/100,2)</f>
        <v/>
      </c>
      <c r="L27" s="4">
        <f>I27+K27</f>
        <v/>
      </c>
      <c r="M27" s="4">
        <f>F27</f>
        <v/>
      </c>
      <c r="N27" s="4">
        <f>H27+K27</f>
        <v/>
      </c>
      <c r="O27" s="15" t="n">
        <v>2020</v>
      </c>
      <c r="P27" s="8" t="inlineStr">
        <is>
          <t>mensal</t>
        </is>
      </c>
    </row>
    <row r="28">
      <c r="A28" s="8" t="inlineStr">
        <is>
          <t>08/2020</t>
        </is>
      </c>
      <c r="B28" s="4">
        <f>'Evolução RMI'!H20</f>
        <v/>
      </c>
      <c r="C28" s="9" t="n">
        <v>0</v>
      </c>
      <c r="D28" s="4">
        <f>B28-C28</f>
        <v/>
      </c>
      <c r="E28" s="12" t="n">
        <v>1.1440309414</v>
      </c>
      <c r="F28" s="4">
        <f>ROUND(D28*E28,2)</f>
        <v/>
      </c>
      <c r="G28" s="10" t="n">
        <v>0.7987</v>
      </c>
      <c r="H28" s="4">
        <f>ROUND(F28*G28/100,2)</f>
        <v/>
      </c>
      <c r="I28" s="4">
        <f>F28+H28</f>
        <v/>
      </c>
      <c r="J28" s="10" t="n">
        <v>39.21</v>
      </c>
      <c r="K28" s="4">
        <f>ROUND(I28*J28/100,2)</f>
        <v/>
      </c>
      <c r="L28" s="4">
        <f>I28+K28</f>
        <v/>
      </c>
      <c r="M28" s="4">
        <f>F28</f>
        <v/>
      </c>
      <c r="N28" s="4">
        <f>H28+K28</f>
        <v/>
      </c>
      <c r="O28" s="15" t="n">
        <v>2020</v>
      </c>
      <c r="P28" s="8" t="inlineStr">
        <is>
          <t>mensal</t>
        </is>
      </c>
    </row>
    <row r="29">
      <c r="A29" s="8" t="inlineStr">
        <is>
          <t>09/2020</t>
        </is>
      </c>
      <c r="B29" s="4">
        <f>'Evolução RMI'!H21</f>
        <v/>
      </c>
      <c r="C29" s="9" t="n">
        <v>0</v>
      </c>
      <c r="D29" s="4">
        <f>B29-C29</f>
        <v/>
      </c>
      <c r="E29" s="12" t="n">
        <v>1.1399272035</v>
      </c>
      <c r="F29" s="4">
        <f>ROUND(D29*E29,2)</f>
        <v/>
      </c>
      <c r="G29" s="10" t="n">
        <v>0.7987</v>
      </c>
      <c r="H29" s="4">
        <f>ROUND(F29*G29/100,2)</f>
        <v/>
      </c>
      <c r="I29" s="4">
        <f>F29+H29</f>
        <v/>
      </c>
      <c r="J29" s="10" t="n">
        <v>39.21</v>
      </c>
      <c r="K29" s="4">
        <f>ROUND(I29*J29/100,2)</f>
        <v/>
      </c>
      <c r="L29" s="4">
        <f>I29+K29</f>
        <v/>
      </c>
      <c r="M29" s="4">
        <f>F29</f>
        <v/>
      </c>
      <c r="N29" s="4">
        <f>H29+K29</f>
        <v/>
      </c>
      <c r="O29" s="15" t="n">
        <v>2020</v>
      </c>
      <c r="P29" s="8" t="inlineStr">
        <is>
          <t>mensal</t>
        </is>
      </c>
    </row>
    <row r="30">
      <c r="A30" s="8" t="inlineStr">
        <is>
          <t>10/2020</t>
        </is>
      </c>
      <c r="B30" s="4">
        <f>'Evolução RMI'!H22</f>
        <v/>
      </c>
      <c r="C30" s="9" t="n">
        <v>0</v>
      </c>
      <c r="D30" s="4">
        <f>B30-C30</f>
        <v/>
      </c>
      <c r="E30" s="12" t="n">
        <v>1.1300953737</v>
      </c>
      <c r="F30" s="4">
        <f>ROUND(D30*E30,2)</f>
        <v/>
      </c>
      <c r="G30" s="10" t="n">
        <v>0.7987</v>
      </c>
      <c r="H30" s="4">
        <f>ROUND(F30*G30/100,2)</f>
        <v/>
      </c>
      <c r="I30" s="4">
        <f>F30+H30</f>
        <v/>
      </c>
      <c r="J30" s="10" t="n">
        <v>39.21</v>
      </c>
      <c r="K30" s="4">
        <f>ROUND(I30*J30/100,2)</f>
        <v/>
      </c>
      <c r="L30" s="4">
        <f>I30+K30</f>
        <v/>
      </c>
      <c r="M30" s="4">
        <f>F30</f>
        <v/>
      </c>
      <c r="N30" s="4">
        <f>H30+K30</f>
        <v/>
      </c>
      <c r="O30" s="15" t="n">
        <v>2020</v>
      </c>
      <c r="P30" s="8" t="inlineStr">
        <is>
          <t>mensal</t>
        </is>
      </c>
    </row>
    <row r="31">
      <c r="A31" s="8" t="inlineStr">
        <is>
          <t>11/2020</t>
        </is>
      </c>
      <c r="B31" s="4">
        <f>'Evolução RMI'!H23</f>
        <v/>
      </c>
      <c r="C31" s="9" t="n">
        <v>0</v>
      </c>
      <c r="D31" s="4">
        <f>B31-C31</f>
        <v/>
      </c>
      <c r="E31" s="12" t="n">
        <v>1.1201262501</v>
      </c>
      <c r="F31" s="4">
        <f>ROUND(D31*E31,2)</f>
        <v/>
      </c>
      <c r="G31" s="10" t="n">
        <v>0.7987</v>
      </c>
      <c r="H31" s="4">
        <f>ROUND(F31*G31/100,2)</f>
        <v/>
      </c>
      <c r="I31" s="4">
        <f>F31+H31</f>
        <v/>
      </c>
      <c r="J31" s="10" t="n">
        <v>39.21</v>
      </c>
      <c r="K31" s="4">
        <f>ROUND(I31*J31/100,2)</f>
        <v/>
      </c>
      <c r="L31" s="4">
        <f>I31+K31</f>
        <v/>
      </c>
      <c r="M31" s="4">
        <f>F31</f>
        <v/>
      </c>
      <c r="N31" s="4">
        <f>H31+K31</f>
        <v/>
      </c>
      <c r="O31" s="15" t="n">
        <v>2020</v>
      </c>
      <c r="P31" s="8" t="inlineStr">
        <is>
          <t>mensal</t>
        </is>
      </c>
    </row>
    <row r="32">
      <c r="A32" s="8" t="inlineStr">
        <is>
          <t>12/2020</t>
        </is>
      </c>
      <c r="B32" s="4">
        <f>'Evolução RMI'!H24</f>
        <v/>
      </c>
      <c r="C32" s="9" t="n">
        <v>0</v>
      </c>
      <c r="D32" s="4">
        <f>B32-C32</f>
        <v/>
      </c>
      <c r="E32" s="12" t="n">
        <v>1.1095851908</v>
      </c>
      <c r="F32" s="4">
        <f>ROUND(D32*E32,2)</f>
        <v/>
      </c>
      <c r="G32" s="10" t="n">
        <v>0.7987</v>
      </c>
      <c r="H32" s="4">
        <f>ROUND(F32*G32/100,2)</f>
        <v/>
      </c>
      <c r="I32" s="4">
        <f>F32+H32</f>
        <v/>
      </c>
      <c r="J32" s="10" t="n">
        <v>39.21</v>
      </c>
      <c r="K32" s="4">
        <f>ROUND(I32*J32/100,2)</f>
        <v/>
      </c>
      <c r="L32" s="4">
        <f>I32+K32</f>
        <v/>
      </c>
      <c r="M32" s="4">
        <f>F32</f>
        <v/>
      </c>
      <c r="N32" s="4">
        <f>H32+K32</f>
        <v/>
      </c>
      <c r="O32" s="15" t="n">
        <v>2020</v>
      </c>
      <c r="P32" s="8" t="inlineStr">
        <is>
          <t>mensal</t>
        </is>
      </c>
    </row>
    <row r="33">
      <c r="A33" s="8" t="inlineStr">
        <is>
          <t>01/2021</t>
        </is>
      </c>
      <c r="B33" s="4">
        <f>'Evolução RMI'!H25</f>
        <v/>
      </c>
      <c r="C33" s="9" t="n">
        <v>0</v>
      </c>
      <c r="D33" s="4">
        <f>B33-C33</f>
        <v/>
      </c>
      <c r="E33" s="12" t="n">
        <v>1.0936183627</v>
      </c>
      <c r="F33" s="4">
        <f>ROUND(D33*E33,2)</f>
        <v/>
      </c>
      <c r="G33" s="10" t="n">
        <v>0.7987</v>
      </c>
      <c r="H33" s="4">
        <f>ROUND(F33*G33/100,2)</f>
        <v/>
      </c>
      <c r="I33" s="4">
        <f>F33+H33</f>
        <v/>
      </c>
      <c r="J33" s="10" t="n">
        <v>39.21</v>
      </c>
      <c r="K33" s="4">
        <f>ROUND(I33*J33/100,2)</f>
        <v/>
      </c>
      <c r="L33" s="4">
        <f>I33+K33</f>
        <v/>
      </c>
      <c r="M33" s="4">
        <f>F33</f>
        <v/>
      </c>
      <c r="N33" s="4">
        <f>H33+K33</f>
        <v/>
      </c>
      <c r="O33" s="15" t="n">
        <v>2021</v>
      </c>
      <c r="P33" s="8" t="inlineStr">
        <is>
          <t>mensal</t>
        </is>
      </c>
    </row>
    <row r="34">
      <c r="A34" s="8" t="inlineStr">
        <is>
          <t>02/2021</t>
        </is>
      </c>
      <c r="B34" s="4">
        <f>'Evolução RMI'!H26</f>
        <v/>
      </c>
      <c r="C34" s="9" t="n">
        <v>0</v>
      </c>
      <c r="D34" s="4">
        <f>B34-C34</f>
        <v/>
      </c>
      <c r="E34" s="12" t="n">
        <v>1.0906735441</v>
      </c>
      <c r="F34" s="4">
        <f>ROUND(D34*E34,2)</f>
        <v/>
      </c>
      <c r="G34" s="10" t="n">
        <v>0.7987</v>
      </c>
      <c r="H34" s="4">
        <f>ROUND(F34*G34/100,2)</f>
        <v/>
      </c>
      <c r="I34" s="4">
        <f>F34+H34</f>
        <v/>
      </c>
      <c r="J34" s="10" t="n">
        <v>39.21</v>
      </c>
      <c r="K34" s="4">
        <f>ROUND(I34*J34/100,2)</f>
        <v/>
      </c>
      <c r="L34" s="4">
        <f>I34+K34</f>
        <v/>
      </c>
      <c r="M34" s="4">
        <f>F34</f>
        <v/>
      </c>
      <c r="N34" s="4">
        <f>H34+K34</f>
        <v/>
      </c>
      <c r="O34" s="15" t="n">
        <v>2021</v>
      </c>
      <c r="P34" s="8" t="inlineStr">
        <is>
          <t>mensal</t>
        </is>
      </c>
    </row>
    <row r="35">
      <c r="A35" s="8" t="inlineStr">
        <is>
          <t>03/2021</t>
        </is>
      </c>
      <c r="B35" s="4">
        <f>'Evolução RMI'!H27</f>
        <v/>
      </c>
      <c r="C35" s="9" t="n">
        <v>0</v>
      </c>
      <c r="D35" s="4">
        <f>B35-C35</f>
        <v/>
      </c>
      <c r="E35" s="12" t="n">
        <v>1.0818027615</v>
      </c>
      <c r="F35" s="4">
        <f>ROUND(D35*E35,2)</f>
        <v/>
      </c>
      <c r="G35" s="10" t="n">
        <v>0.7987</v>
      </c>
      <c r="H35" s="4">
        <f>ROUND(F35*G35/100,2)</f>
        <v/>
      </c>
      <c r="I35" s="4">
        <f>F35+H35</f>
        <v/>
      </c>
      <c r="J35" s="10" t="n">
        <v>39.21</v>
      </c>
      <c r="K35" s="4">
        <f>ROUND(I35*J35/100,2)</f>
        <v/>
      </c>
      <c r="L35" s="4">
        <f>I35+K35</f>
        <v/>
      </c>
      <c r="M35" s="4">
        <f>F35</f>
        <v/>
      </c>
      <c r="N35" s="4">
        <f>H35+K35</f>
        <v/>
      </c>
      <c r="O35" s="15" t="n">
        <v>2021</v>
      </c>
      <c r="P35" s="8" t="inlineStr">
        <is>
          <t>mensal</t>
        </is>
      </c>
    </row>
    <row r="36">
      <c r="A36" s="8" t="inlineStr">
        <is>
          <t>04/2021</t>
        </is>
      </c>
      <c r="B36" s="4">
        <f>'Evolução RMI'!H28</f>
        <v/>
      </c>
      <c r="C36" s="9" t="n">
        <v>0</v>
      </c>
      <c r="D36" s="4">
        <f>B36-C36</f>
        <v/>
      </c>
      <c r="E36" s="12" t="n">
        <v>1.0725785856</v>
      </c>
      <c r="F36" s="4">
        <f>ROUND(D36*E36,2)</f>
        <v/>
      </c>
      <c r="G36" s="10" t="n">
        <v>0.7987</v>
      </c>
      <c r="H36" s="4">
        <f>ROUND(F36*G36/100,2)</f>
        <v/>
      </c>
      <c r="I36" s="4">
        <f>F36+H36</f>
        <v/>
      </c>
      <c r="J36" s="10" t="n">
        <v>39.21</v>
      </c>
      <c r="K36" s="4">
        <f>ROUND(I36*J36/100,2)</f>
        <v/>
      </c>
      <c r="L36" s="4">
        <f>I36+K36</f>
        <v/>
      </c>
      <c r="M36" s="4">
        <f>F36</f>
        <v/>
      </c>
      <c r="N36" s="4">
        <f>H36+K36</f>
        <v/>
      </c>
      <c r="O36" s="15" t="n">
        <v>2021</v>
      </c>
      <c r="P36" s="8" t="inlineStr">
        <is>
          <t>mensal</t>
        </is>
      </c>
    </row>
    <row r="37">
      <c r="A37" s="8" t="inlineStr">
        <is>
          <t>05/2021</t>
        </is>
      </c>
      <c r="B37" s="4">
        <f>'Evolução RMI'!H29</f>
        <v/>
      </c>
      <c r="C37" s="9" t="n">
        <v>0</v>
      </c>
      <c r="D37" s="4">
        <f>B37-C37</f>
        <v/>
      </c>
      <c r="E37" s="12" t="n">
        <v>1.0685182164</v>
      </c>
      <c r="F37" s="4">
        <f>ROUND(D37*E37,2)</f>
        <v/>
      </c>
      <c r="G37" s="10" t="n">
        <v>0.7987</v>
      </c>
      <c r="H37" s="4">
        <f>ROUND(F37*G37/100,2)</f>
        <v/>
      </c>
      <c r="I37" s="4">
        <f>F37+H37</f>
        <v/>
      </c>
      <c r="J37" s="10" t="n">
        <v>39.21</v>
      </c>
      <c r="K37" s="4">
        <f>ROUND(I37*J37/100,2)</f>
        <v/>
      </c>
      <c r="L37" s="4">
        <f>I37+K37</f>
        <v/>
      </c>
      <c r="M37" s="4">
        <f>F37</f>
        <v/>
      </c>
      <c r="N37" s="4">
        <f>H37+K37</f>
        <v/>
      </c>
      <c r="O37" s="15" t="n">
        <v>2021</v>
      </c>
      <c r="P37" s="8" t="inlineStr">
        <is>
          <t>mensal</t>
        </is>
      </c>
    </row>
    <row r="38">
      <c r="A38" s="8" t="inlineStr">
        <is>
          <t>13º</t>
        </is>
      </c>
      <c r="B38" s="4">
        <f>TRUNC('Evolução RMI'!F29/2,2)</f>
        <v/>
      </c>
      <c r="C38" s="9" t="n">
        <v>0</v>
      </c>
      <c r="D38" s="4">
        <f>B38-C38</f>
        <v/>
      </c>
      <c r="E38" s="12" t="n">
        <v>1.0685182164</v>
      </c>
      <c r="F38" s="4">
        <f>ROUND(D38*E38,2)</f>
        <v/>
      </c>
      <c r="G38" s="10" t="n">
        <v>0.7987</v>
      </c>
      <c r="H38" s="4">
        <f>ROUND(F38*G38/100,2)</f>
        <v/>
      </c>
      <c r="I38" s="4">
        <f>F38+H38</f>
        <v/>
      </c>
      <c r="J38" s="10" t="n">
        <v>39.21</v>
      </c>
      <c r="K38" s="4">
        <f>ROUND(I38*J38/100,2)</f>
        <v/>
      </c>
      <c r="L38" s="4">
        <f>I38+K38</f>
        <v/>
      </c>
      <c r="M38" s="4">
        <f>F38</f>
        <v/>
      </c>
      <c r="N38" s="4">
        <f>H38+K38</f>
        <v/>
      </c>
      <c r="O38" s="15" t="n">
        <v>2021</v>
      </c>
      <c r="P38" s="8" t="inlineStr">
        <is>
          <t>13º</t>
        </is>
      </c>
    </row>
    <row r="39">
      <c r="A39" s="8" t="inlineStr">
        <is>
          <t>06/2021</t>
        </is>
      </c>
      <c r="B39" s="4">
        <f>'Evolução RMI'!H30</f>
        <v/>
      </c>
      <c r="C39" s="9" t="n">
        <v>0</v>
      </c>
      <c r="D39" s="4">
        <f>B39-C39</f>
        <v/>
      </c>
      <c r="E39" s="12" t="n">
        <v>1.0583579798</v>
      </c>
      <c r="F39" s="4">
        <f>ROUND(D39*E39,2)</f>
        <v/>
      </c>
      <c r="G39" s="10" t="n">
        <v>0.7987</v>
      </c>
      <c r="H39" s="4">
        <f>ROUND(F39*G39/100,2)</f>
        <v/>
      </c>
      <c r="I39" s="4">
        <f>F39+H39</f>
        <v/>
      </c>
      <c r="J39" s="10" t="n">
        <v>39.21</v>
      </c>
      <c r="K39" s="4">
        <f>ROUND(I39*J39/100,2)</f>
        <v/>
      </c>
      <c r="L39" s="4">
        <f>I39+K39</f>
        <v/>
      </c>
      <c r="M39" s="4">
        <f>F39</f>
        <v/>
      </c>
      <c r="N39" s="4">
        <f>H39+K39</f>
        <v/>
      </c>
      <c r="O39" s="15" t="n">
        <v>2021</v>
      </c>
      <c r="P39" s="8" t="inlineStr">
        <is>
          <t>mensal</t>
        </is>
      </c>
    </row>
    <row r="40">
      <c r="A40" s="8" t="inlineStr">
        <is>
          <t>13º</t>
        </is>
      </c>
      <c r="B40" s="4">
        <f>TRUNC('Evolução RMI'!F30*12/12-'Evolução RMI'!F29/2,2)</f>
        <v/>
      </c>
      <c r="C40" s="9" t="n">
        <v>0</v>
      </c>
      <c r="D40" s="4">
        <f>B40-C40</f>
        <v/>
      </c>
      <c r="E40" s="12" t="n">
        <v>1.0583579798</v>
      </c>
      <c r="F40" s="4">
        <f>ROUND(D40*E40,2)</f>
        <v/>
      </c>
      <c r="G40" s="10" t="n">
        <v>0.7987</v>
      </c>
      <c r="H40" s="4">
        <f>ROUND(F40*G40/100,2)</f>
        <v/>
      </c>
      <c r="I40" s="4">
        <f>F40+H40</f>
        <v/>
      </c>
      <c r="J40" s="10" t="n">
        <v>39.21</v>
      </c>
      <c r="K40" s="4">
        <f>ROUND(I40*J40/100,2)</f>
        <v/>
      </c>
      <c r="L40" s="4">
        <f>I40+K40</f>
        <v/>
      </c>
      <c r="M40" s="4">
        <f>F40</f>
        <v/>
      </c>
      <c r="N40" s="4">
        <f>H40+K40</f>
        <v/>
      </c>
      <c r="O40" s="15" t="n">
        <v>2021</v>
      </c>
      <c r="P40" s="8" t="inlineStr">
        <is>
          <t>13º</t>
        </is>
      </c>
    </row>
    <row r="41">
      <c r="A41" s="8" t="inlineStr">
        <is>
          <t>07/2021</t>
        </is>
      </c>
      <c r="B41" s="4">
        <f>'Evolução RMI'!H31</f>
        <v/>
      </c>
      <c r="C41" s="9" t="n">
        <v>0</v>
      </c>
      <c r="D41" s="4">
        <f>B41-C41</f>
        <v/>
      </c>
      <c r="E41" s="12" t="n">
        <v>1.0520457056</v>
      </c>
      <c r="F41" s="4">
        <f>ROUND(D41*E41,2)</f>
        <v/>
      </c>
      <c r="G41" s="10" t="n">
        <v>0.7987</v>
      </c>
      <c r="H41" s="4">
        <f>ROUND(F41*G41/100,2)</f>
        <v/>
      </c>
      <c r="I41" s="4">
        <f>F41+H41</f>
        <v/>
      </c>
      <c r="J41" s="10" t="n">
        <v>39.21</v>
      </c>
      <c r="K41" s="4">
        <f>ROUND(I41*J41/100,2)</f>
        <v/>
      </c>
      <c r="L41" s="4">
        <f>I41+K41</f>
        <v/>
      </c>
      <c r="M41" s="4">
        <f>F41</f>
        <v/>
      </c>
      <c r="N41" s="4">
        <f>H41+K41</f>
        <v/>
      </c>
      <c r="O41" s="15" t="n">
        <v>2021</v>
      </c>
      <c r="P41" s="8" t="inlineStr">
        <is>
          <t>mensal</t>
        </is>
      </c>
    </row>
    <row r="42">
      <c r="A42" s="8" t="inlineStr">
        <is>
          <t>08/2021</t>
        </is>
      </c>
      <c r="B42" s="4">
        <f>'Evolução RMI'!H32</f>
        <v/>
      </c>
      <c r="C42" s="9" t="n">
        <v>0</v>
      </c>
      <c r="D42" s="4">
        <f>B42-C42</f>
        <v/>
      </c>
      <c r="E42" s="12" t="n">
        <v>1.041423189</v>
      </c>
      <c r="F42" s="4">
        <f>ROUND(D42*E42,2)</f>
        <v/>
      </c>
      <c r="G42" s="10" t="n">
        <v>0.7987</v>
      </c>
      <c r="H42" s="4">
        <f>ROUND(F42*G42/100,2)</f>
        <v/>
      </c>
      <c r="I42" s="4">
        <f>F42+H42</f>
        <v/>
      </c>
      <c r="J42" s="10" t="n">
        <v>39.21</v>
      </c>
      <c r="K42" s="4">
        <f>ROUND(I42*J42/100,2)</f>
        <v/>
      </c>
      <c r="L42" s="4">
        <f>I42+K42</f>
        <v/>
      </c>
      <c r="M42" s="4">
        <f>F42</f>
        <v/>
      </c>
      <c r="N42" s="4">
        <f>H42+K42</f>
        <v/>
      </c>
      <c r="O42" s="15" t="n">
        <v>2021</v>
      </c>
      <c r="P42" s="8" t="inlineStr">
        <is>
          <t>mensal</t>
        </is>
      </c>
    </row>
    <row r="43">
      <c r="A43" s="8" t="inlineStr">
        <is>
          <t>09/2021</t>
        </is>
      </c>
      <c r="B43" s="4">
        <f>'Evolução RMI'!H33</f>
        <v/>
      </c>
      <c r="C43" s="9" t="n">
        <v>0</v>
      </c>
      <c r="D43" s="4">
        <f>B43-C43</f>
        <v/>
      </c>
      <c r="E43" s="12" t="n">
        <v>1.0323386093</v>
      </c>
      <c r="F43" s="4">
        <f>ROUND(D43*E43,2)</f>
        <v/>
      </c>
      <c r="G43" s="10" t="n">
        <v>0.7987</v>
      </c>
      <c r="H43" s="4">
        <f>ROUND(F43*G43/100,2)</f>
        <v/>
      </c>
      <c r="I43" s="4">
        <f>F43+H43</f>
        <v/>
      </c>
      <c r="J43" s="10" t="n">
        <v>39.21</v>
      </c>
      <c r="K43" s="4">
        <f>ROUND(I43*J43/100,2)</f>
        <v/>
      </c>
      <c r="L43" s="4">
        <f>I43+K43</f>
        <v/>
      </c>
      <c r="M43" s="4">
        <f>F43</f>
        <v/>
      </c>
      <c r="N43" s="4">
        <f>H43+K43</f>
        <v/>
      </c>
      <c r="O43" s="15" t="n">
        <v>2021</v>
      </c>
      <c r="P43" s="8" t="inlineStr">
        <is>
          <t>mensal</t>
        </is>
      </c>
    </row>
    <row r="44">
      <c r="A44" s="8" t="inlineStr">
        <is>
          <t>10/2021</t>
        </is>
      </c>
      <c r="B44" s="4">
        <f>'Evolução RMI'!H34</f>
        <v/>
      </c>
      <c r="C44" s="9" t="n">
        <v>0</v>
      </c>
      <c r="D44" s="4">
        <f>B44-C44</f>
        <v/>
      </c>
      <c r="E44" s="12" t="n">
        <v>1.02009744</v>
      </c>
      <c r="F44" s="4">
        <f>ROUND(D44*E44,2)</f>
        <v/>
      </c>
      <c r="G44" s="10" t="n">
        <v>0.7987</v>
      </c>
      <c r="H44" s="4">
        <f>ROUND(F44*G44/100,2)</f>
        <v/>
      </c>
      <c r="I44" s="4">
        <f>F44+H44</f>
        <v/>
      </c>
      <c r="J44" s="10" t="n">
        <v>39.21</v>
      </c>
      <c r="K44" s="4">
        <f>ROUND(I44*J44/100,2)</f>
        <v/>
      </c>
      <c r="L44" s="4">
        <f>I44+K44</f>
        <v/>
      </c>
      <c r="M44" s="4">
        <f>F44</f>
        <v/>
      </c>
      <c r="N44" s="4">
        <f>H44+K44</f>
        <v/>
      </c>
      <c r="O44" s="15" t="n">
        <v>2021</v>
      </c>
      <c r="P44" s="8" t="inlineStr">
        <is>
          <t>mensal</t>
        </is>
      </c>
    </row>
    <row r="45">
      <c r="A45" s="8" t="inlineStr">
        <is>
          <t>11/2021</t>
        </is>
      </c>
      <c r="B45" s="4">
        <f>'Evolução RMI'!H35</f>
        <v/>
      </c>
      <c r="C45" s="9" t="n">
        <v>0</v>
      </c>
      <c r="D45" s="4">
        <f>B45-C45</f>
        <v/>
      </c>
      <c r="E45" s="12" t="n">
        <v>1.0084</v>
      </c>
      <c r="F45" s="4">
        <f>ROUND(D45*E45,2)</f>
        <v/>
      </c>
      <c r="G45" s="10" t="n">
        <v>0.4412</v>
      </c>
      <c r="H45" s="4">
        <f>ROUND(F45*G45/100,2)</f>
        <v/>
      </c>
      <c r="I45" s="4">
        <f>F45+H45</f>
        <v/>
      </c>
      <c r="J45" s="10" t="n">
        <v>39.21</v>
      </c>
      <c r="K45" s="4">
        <f>ROUND(I45*J45/100,2)</f>
        <v/>
      </c>
      <c r="L45" s="4">
        <f>I45+K45</f>
        <v/>
      </c>
      <c r="M45" s="4">
        <f>F45</f>
        <v/>
      </c>
      <c r="N45" s="4">
        <f>H45+K45</f>
        <v/>
      </c>
      <c r="O45" s="15" t="n">
        <v>2021</v>
      </c>
      <c r="P45" s="8" t="inlineStr">
        <is>
          <t>mensal</t>
        </is>
      </c>
    </row>
    <row r="46">
      <c r="A46" s="8" t="inlineStr">
        <is>
          <t>12/2021</t>
        </is>
      </c>
      <c r="B46" s="4">
        <f>'Evolução RMI'!H36</f>
        <v/>
      </c>
      <c r="C46" s="9" t="n">
        <v>0</v>
      </c>
      <c r="D46" s="4">
        <f>B46-C46</f>
        <v/>
      </c>
      <c r="E46" s="12" t="n">
        <v>1</v>
      </c>
      <c r="F46" s="4">
        <f>ROUND(D46*E46,2)</f>
        <v/>
      </c>
      <c r="G46" s="10" t="n">
        <v>0</v>
      </c>
      <c r="H46" s="4">
        <f>ROUND(F46*G46/100,2)</f>
        <v/>
      </c>
      <c r="I46" s="4">
        <f>F46+H46</f>
        <v/>
      </c>
      <c r="J46" s="10" t="n">
        <v>39.21</v>
      </c>
      <c r="K46" s="4">
        <f>ROUND(I46*J46/100,2)</f>
        <v/>
      </c>
      <c r="L46" s="4">
        <f>I46+K46</f>
        <v/>
      </c>
      <c r="M46" s="4">
        <f>F46</f>
        <v/>
      </c>
      <c r="N46" s="4">
        <f>H46+K46</f>
        <v/>
      </c>
      <c r="O46" s="15" t="n">
        <v>2021</v>
      </c>
      <c r="P46" s="8" t="inlineStr">
        <is>
          <t>mensal</t>
        </is>
      </c>
    </row>
    <row r="47">
      <c r="A47" s="8" t="inlineStr">
        <is>
          <t>01/2022</t>
        </is>
      </c>
      <c r="B47" s="4">
        <f>'Evolução RMI'!H37</f>
        <v/>
      </c>
      <c r="C47" s="9" t="n">
        <v>0</v>
      </c>
      <c r="D47" s="4">
        <f>B47-C47</f>
        <v/>
      </c>
      <c r="E47" s="12" t="n">
        <v>1</v>
      </c>
      <c r="F47" s="4">
        <f>ROUND(D47*E47,2)</f>
        <v/>
      </c>
      <c r="G47" s="10" t="n">
        <v>0</v>
      </c>
      <c r="H47" s="4">
        <f>ROUND(F47*G47/100,2)</f>
        <v/>
      </c>
      <c r="I47" s="4">
        <f>F47+H47</f>
        <v/>
      </c>
      <c r="J47" s="10" t="n">
        <v>38.44</v>
      </c>
      <c r="K47" s="4">
        <f>ROUND(I47*J47/100,2)</f>
        <v/>
      </c>
      <c r="L47" s="4">
        <f>I47+K47</f>
        <v/>
      </c>
      <c r="M47" s="4">
        <f>F47</f>
        <v/>
      </c>
      <c r="N47" s="4">
        <f>H47+K47</f>
        <v/>
      </c>
      <c r="O47" s="15" t="n">
        <v>2022</v>
      </c>
      <c r="P47" s="8" t="inlineStr">
        <is>
          <t>mensal</t>
        </is>
      </c>
    </row>
    <row r="48">
      <c r="A48" s="8" t="inlineStr">
        <is>
          <t>02/2022</t>
        </is>
      </c>
      <c r="B48" s="4">
        <f>'Evolução RMI'!H38</f>
        <v/>
      </c>
      <c r="C48" s="9" t="n">
        <v>0</v>
      </c>
      <c r="D48" s="4">
        <f>B48-C48</f>
        <v/>
      </c>
      <c r="E48" s="12" t="n">
        <v>1</v>
      </c>
      <c r="F48" s="4">
        <f>ROUND(D48*E48,2)</f>
        <v/>
      </c>
      <c r="G48" s="10" t="n">
        <v>0</v>
      </c>
      <c r="H48" s="4">
        <f>ROUND(F48*G48/100,2)</f>
        <v/>
      </c>
      <c r="I48" s="4">
        <f>F48+H48</f>
        <v/>
      </c>
      <c r="J48" s="10" t="n">
        <v>37.71</v>
      </c>
      <c r="K48" s="4">
        <f>ROUND(I48*J48/100,2)</f>
        <v/>
      </c>
      <c r="L48" s="4">
        <f>I48+K48</f>
        <v/>
      </c>
      <c r="M48" s="4">
        <f>F48</f>
        <v/>
      </c>
      <c r="N48" s="4">
        <f>H48+K48</f>
        <v/>
      </c>
      <c r="O48" s="15" t="n">
        <v>2022</v>
      </c>
      <c r="P48" s="8" t="inlineStr">
        <is>
          <t>mensal</t>
        </is>
      </c>
    </row>
    <row r="49">
      <c r="A49" s="8" t="inlineStr">
        <is>
          <t>03/2022</t>
        </is>
      </c>
      <c r="B49" s="4">
        <f>'Evolução RMI'!H39</f>
        <v/>
      </c>
      <c r="C49" s="9" t="n">
        <v>0</v>
      </c>
      <c r="D49" s="4">
        <f>B49-C49</f>
        <v/>
      </c>
      <c r="E49" s="12" t="n">
        <v>1</v>
      </c>
      <c r="F49" s="4">
        <f>ROUND(D49*E49,2)</f>
        <v/>
      </c>
      <c r="G49" s="10" t="n">
        <v>0</v>
      </c>
      <c r="H49" s="4">
        <f>ROUND(F49*G49/100,2)</f>
        <v/>
      </c>
      <c r="I49" s="4">
        <f>F49+H49</f>
        <v/>
      </c>
      <c r="J49" s="10" t="n">
        <v>36.95</v>
      </c>
      <c r="K49" s="4">
        <f>ROUND(I49*J49/100,2)</f>
        <v/>
      </c>
      <c r="L49" s="4">
        <f>I49+K49</f>
        <v/>
      </c>
      <c r="M49" s="4">
        <f>F49</f>
        <v/>
      </c>
      <c r="N49" s="4">
        <f>H49+K49</f>
        <v/>
      </c>
      <c r="O49" s="15" t="n">
        <v>2022</v>
      </c>
      <c r="P49" s="8" t="inlineStr">
        <is>
          <t>mensal</t>
        </is>
      </c>
    </row>
    <row r="50">
      <c r="A50" s="8" t="inlineStr">
        <is>
          <t>04/2022</t>
        </is>
      </c>
      <c r="B50" s="4">
        <f>'Evolução RMI'!H40</f>
        <v/>
      </c>
      <c r="C50" s="9" t="n">
        <v>0</v>
      </c>
      <c r="D50" s="4">
        <f>B50-C50</f>
        <v/>
      </c>
      <c r="E50" s="12" t="n">
        <v>1</v>
      </c>
      <c r="F50" s="4">
        <f>ROUND(D50*E50,2)</f>
        <v/>
      </c>
      <c r="G50" s="10" t="n">
        <v>0</v>
      </c>
      <c r="H50" s="4">
        <f>ROUND(F50*G50/100,2)</f>
        <v/>
      </c>
      <c r="I50" s="4">
        <f>F50+H50</f>
        <v/>
      </c>
      <c r="J50" s="10" t="n">
        <v>36.02</v>
      </c>
      <c r="K50" s="4">
        <f>ROUND(I50*J50/100,2)</f>
        <v/>
      </c>
      <c r="L50" s="4">
        <f>I50+K50</f>
        <v/>
      </c>
      <c r="M50" s="4">
        <f>F50</f>
        <v/>
      </c>
      <c r="N50" s="4">
        <f>H50+K50</f>
        <v/>
      </c>
      <c r="O50" s="15" t="n">
        <v>2022</v>
      </c>
      <c r="P50" s="8" t="inlineStr">
        <is>
          <t>mensal</t>
        </is>
      </c>
    </row>
    <row r="51">
      <c r="A51" s="8" t="inlineStr">
        <is>
          <t>13º</t>
        </is>
      </c>
      <c r="B51" s="4">
        <f>TRUNC('Evolução RMI'!F40/2,2)</f>
        <v/>
      </c>
      <c r="C51" s="9" t="n">
        <v>0</v>
      </c>
      <c r="D51" s="4">
        <f>B51-C51</f>
        <v/>
      </c>
      <c r="E51" s="12" t="n">
        <v>1</v>
      </c>
      <c r="F51" s="4">
        <f>ROUND(D51*E51,2)</f>
        <v/>
      </c>
      <c r="G51" s="10" t="n">
        <v>0</v>
      </c>
      <c r="H51" s="4">
        <f>ROUND(F51*G51/100,2)</f>
        <v/>
      </c>
      <c r="I51" s="4">
        <f>F51+H51</f>
        <v/>
      </c>
      <c r="J51" s="10" t="n">
        <v>36.02</v>
      </c>
      <c r="K51" s="4">
        <f>ROUND(I51*J51/100,2)</f>
        <v/>
      </c>
      <c r="L51" s="4">
        <f>I51+K51</f>
        <v/>
      </c>
      <c r="M51" s="4">
        <f>F51</f>
        <v/>
      </c>
      <c r="N51" s="4">
        <f>H51+K51</f>
        <v/>
      </c>
      <c r="O51" s="15" t="n">
        <v>2022</v>
      </c>
      <c r="P51" s="8" t="inlineStr">
        <is>
          <t>13º</t>
        </is>
      </c>
    </row>
    <row r="52">
      <c r="A52" s="8" t="inlineStr">
        <is>
          <t>05/2022</t>
        </is>
      </c>
      <c r="B52" s="4">
        <f>'Evolução RMI'!H41</f>
        <v/>
      </c>
      <c r="C52" s="9" t="n">
        <v>0</v>
      </c>
      <c r="D52" s="4">
        <f>B52-C52</f>
        <v/>
      </c>
      <c r="E52" s="12" t="n">
        <v>1</v>
      </c>
      <c r="F52" s="4">
        <f>ROUND(D52*E52,2)</f>
        <v/>
      </c>
      <c r="G52" s="10" t="n">
        <v>0</v>
      </c>
      <c r="H52" s="4">
        <f>ROUND(F52*G52/100,2)</f>
        <v/>
      </c>
      <c r="I52" s="4">
        <f>F52+H52</f>
        <v/>
      </c>
      <c r="J52" s="10" t="n">
        <v>35.19</v>
      </c>
      <c r="K52" s="4">
        <f>ROUND(I52*J52/100,2)</f>
        <v/>
      </c>
      <c r="L52" s="4">
        <f>I52+K52</f>
        <v/>
      </c>
      <c r="M52" s="4">
        <f>F52</f>
        <v/>
      </c>
      <c r="N52" s="4">
        <f>H52+K52</f>
        <v/>
      </c>
      <c r="O52" s="15" t="n">
        <v>2022</v>
      </c>
      <c r="P52" s="8" t="inlineStr">
        <is>
          <t>mensal</t>
        </is>
      </c>
    </row>
    <row r="53">
      <c r="A53" s="8" t="inlineStr">
        <is>
          <t>13º</t>
        </is>
      </c>
      <c r="B53" s="4">
        <f>TRUNC('Evolução RMI'!F41*12/12-'Evolução RMI'!F40/2,2)</f>
        <v/>
      </c>
      <c r="C53" s="9" t="n">
        <v>0</v>
      </c>
      <c r="D53" s="4">
        <f>B53-C53</f>
        <v/>
      </c>
      <c r="E53" s="12" t="n">
        <v>1</v>
      </c>
      <c r="F53" s="4">
        <f>ROUND(D53*E53,2)</f>
        <v/>
      </c>
      <c r="G53" s="10" t="n">
        <v>0</v>
      </c>
      <c r="H53" s="4">
        <f>ROUND(F53*G53/100,2)</f>
        <v/>
      </c>
      <c r="I53" s="4">
        <f>F53+H53</f>
        <v/>
      </c>
      <c r="J53" s="10" t="n">
        <v>35.19</v>
      </c>
      <c r="K53" s="4">
        <f>ROUND(I53*J53/100,2)</f>
        <v/>
      </c>
      <c r="L53" s="4">
        <f>I53+K53</f>
        <v/>
      </c>
      <c r="M53" s="4">
        <f>F53</f>
        <v/>
      </c>
      <c r="N53" s="4">
        <f>H53+K53</f>
        <v/>
      </c>
      <c r="O53" s="15" t="n">
        <v>2022</v>
      </c>
      <c r="P53" s="8" t="inlineStr">
        <is>
          <t>13º</t>
        </is>
      </c>
    </row>
    <row r="54">
      <c r="A54" s="8" t="inlineStr">
        <is>
          <t>06/2022</t>
        </is>
      </c>
      <c r="B54" s="4">
        <f>'Evolução RMI'!H42</f>
        <v/>
      </c>
      <c r="C54" s="9" t="n">
        <v>0</v>
      </c>
      <c r="D54" s="4">
        <f>B54-C54</f>
        <v/>
      </c>
      <c r="E54" s="12" t="n">
        <v>1</v>
      </c>
      <c r="F54" s="4">
        <f>ROUND(D54*E54,2)</f>
        <v/>
      </c>
      <c r="G54" s="10" t="n">
        <v>0</v>
      </c>
      <c r="H54" s="4">
        <f>ROUND(F54*G54/100,2)</f>
        <v/>
      </c>
      <c r="I54" s="4">
        <f>F54+H54</f>
        <v/>
      </c>
      <c r="J54" s="10" t="n">
        <v>34.16</v>
      </c>
      <c r="K54" s="4">
        <f>ROUND(I54*J54/100,2)</f>
        <v/>
      </c>
      <c r="L54" s="4">
        <f>I54+K54</f>
        <v/>
      </c>
      <c r="M54" s="4">
        <f>F54</f>
        <v/>
      </c>
      <c r="N54" s="4">
        <f>H54+K54</f>
        <v/>
      </c>
      <c r="O54" s="15" t="n">
        <v>2022</v>
      </c>
      <c r="P54" s="8" t="inlineStr">
        <is>
          <t>mensal</t>
        </is>
      </c>
    </row>
    <row r="55">
      <c r="A55" s="8" t="inlineStr">
        <is>
          <t>07/2022</t>
        </is>
      </c>
      <c r="B55" s="4">
        <f>'Evolução RMI'!H43</f>
        <v/>
      </c>
      <c r="C55" s="9" t="n">
        <v>0</v>
      </c>
      <c r="D55" s="4">
        <f>B55-C55</f>
        <v/>
      </c>
      <c r="E55" s="12" t="n">
        <v>1</v>
      </c>
      <c r="F55" s="4">
        <f>ROUND(D55*E55,2)</f>
        <v/>
      </c>
      <c r="G55" s="10" t="n">
        <v>0</v>
      </c>
      <c r="H55" s="4">
        <f>ROUND(F55*G55/100,2)</f>
        <v/>
      </c>
      <c r="I55" s="4">
        <f>F55+H55</f>
        <v/>
      </c>
      <c r="J55" s="10" t="n">
        <v>33.14</v>
      </c>
      <c r="K55" s="4">
        <f>ROUND(I55*J55/100,2)</f>
        <v/>
      </c>
      <c r="L55" s="4">
        <f>I55+K55</f>
        <v/>
      </c>
      <c r="M55" s="4">
        <f>F55</f>
        <v/>
      </c>
      <c r="N55" s="4">
        <f>H55+K55</f>
        <v/>
      </c>
      <c r="O55" s="15" t="n">
        <v>2022</v>
      </c>
      <c r="P55" s="8" t="inlineStr">
        <is>
          <t>mensal</t>
        </is>
      </c>
    </row>
    <row r="56">
      <c r="A56" s="8" t="inlineStr">
        <is>
          <t>08/2022</t>
        </is>
      </c>
      <c r="B56" s="4">
        <f>'Evolução RMI'!H44</f>
        <v/>
      </c>
      <c r="C56" s="9" t="n">
        <v>0</v>
      </c>
      <c r="D56" s="4">
        <f>B56-C56</f>
        <v/>
      </c>
      <c r="E56" s="12" t="n">
        <v>1</v>
      </c>
      <c r="F56" s="4">
        <f>ROUND(D56*E56,2)</f>
        <v/>
      </c>
      <c r="G56" s="10" t="n">
        <v>0</v>
      </c>
      <c r="H56" s="4">
        <f>ROUND(F56*G56/100,2)</f>
        <v/>
      </c>
      <c r="I56" s="4">
        <f>F56+H56</f>
        <v/>
      </c>
      <c r="J56" s="10" t="n">
        <v>32.11</v>
      </c>
      <c r="K56" s="4">
        <f>ROUND(I56*J56/100,2)</f>
        <v/>
      </c>
      <c r="L56" s="4">
        <f>I56+K56</f>
        <v/>
      </c>
      <c r="M56" s="4">
        <f>F56</f>
        <v/>
      </c>
      <c r="N56" s="4">
        <f>H56+K56</f>
        <v/>
      </c>
      <c r="O56" s="15" t="n">
        <v>2022</v>
      </c>
      <c r="P56" s="8" t="inlineStr">
        <is>
          <t>mensal</t>
        </is>
      </c>
    </row>
    <row r="57">
      <c r="A57" s="8" t="inlineStr">
        <is>
          <t>09/2022</t>
        </is>
      </c>
      <c r="B57" s="4">
        <f>'Evolução RMI'!H45</f>
        <v/>
      </c>
      <c r="C57" s="9" t="n">
        <v>0</v>
      </c>
      <c r="D57" s="4">
        <f>B57-C57</f>
        <v/>
      </c>
      <c r="E57" s="12" t="n">
        <v>1</v>
      </c>
      <c r="F57" s="4">
        <f>ROUND(D57*E57,2)</f>
        <v/>
      </c>
      <c r="G57" s="10" t="n">
        <v>0</v>
      </c>
      <c r="H57" s="4">
        <f>ROUND(F57*G57/100,2)</f>
        <v/>
      </c>
      <c r="I57" s="4">
        <f>F57+H57</f>
        <v/>
      </c>
      <c r="J57" s="10" t="n">
        <v>30.94</v>
      </c>
      <c r="K57" s="4">
        <f>ROUND(I57*J57/100,2)</f>
        <v/>
      </c>
      <c r="L57" s="4">
        <f>I57+K57</f>
        <v/>
      </c>
      <c r="M57" s="4">
        <f>F57</f>
        <v/>
      </c>
      <c r="N57" s="4">
        <f>H57+K57</f>
        <v/>
      </c>
      <c r="O57" s="15" t="n">
        <v>2022</v>
      </c>
      <c r="P57" s="8" t="inlineStr">
        <is>
          <t>mensal</t>
        </is>
      </c>
    </row>
    <row r="58">
      <c r="A58" s="8" t="inlineStr">
        <is>
          <t>10/2022</t>
        </is>
      </c>
      <c r="B58" s="4">
        <f>'Evolução RMI'!H46</f>
        <v/>
      </c>
      <c r="C58" s="9" t="n">
        <v>0</v>
      </c>
      <c r="D58" s="4">
        <f>B58-C58</f>
        <v/>
      </c>
      <c r="E58" s="12" t="n">
        <v>1</v>
      </c>
      <c r="F58" s="4">
        <f>ROUND(D58*E58,2)</f>
        <v/>
      </c>
      <c r="G58" s="10" t="n">
        <v>0</v>
      </c>
      <c r="H58" s="4">
        <f>ROUND(F58*G58/100,2)</f>
        <v/>
      </c>
      <c r="I58" s="4">
        <f>F58+H58</f>
        <v/>
      </c>
      <c r="J58" s="10" t="n">
        <v>29.87</v>
      </c>
      <c r="K58" s="4">
        <f>ROUND(I58*J58/100,2)</f>
        <v/>
      </c>
      <c r="L58" s="4">
        <f>I58+K58</f>
        <v/>
      </c>
      <c r="M58" s="4">
        <f>F58</f>
        <v/>
      </c>
      <c r="N58" s="4">
        <f>H58+K58</f>
        <v/>
      </c>
      <c r="O58" s="15" t="n">
        <v>2022</v>
      </c>
      <c r="P58" s="8" t="inlineStr">
        <is>
          <t>mensal</t>
        </is>
      </c>
    </row>
    <row r="59">
      <c r="A59" s="8" t="inlineStr">
        <is>
          <t>11/2022</t>
        </is>
      </c>
      <c r="B59" s="4">
        <f>'Evolução RMI'!H47</f>
        <v/>
      </c>
      <c r="C59" s="9" t="n">
        <v>0</v>
      </c>
      <c r="D59" s="4">
        <f>B59-C59</f>
        <v/>
      </c>
      <c r="E59" s="12" t="n">
        <v>1</v>
      </c>
      <c r="F59" s="4">
        <f>ROUND(D59*E59,2)</f>
        <v/>
      </c>
      <c r="G59" s="10" t="n">
        <v>0</v>
      </c>
      <c r="H59" s="4">
        <f>ROUND(F59*G59/100,2)</f>
        <v/>
      </c>
      <c r="I59" s="4">
        <f>F59+H59</f>
        <v/>
      </c>
      <c r="J59" s="10" t="n">
        <v>28.85</v>
      </c>
      <c r="K59" s="4">
        <f>ROUND(I59*J59/100,2)</f>
        <v/>
      </c>
      <c r="L59" s="4">
        <f>I59+K59</f>
        <v/>
      </c>
      <c r="M59" s="4">
        <f>F59</f>
        <v/>
      </c>
      <c r="N59" s="4">
        <f>H59+K59</f>
        <v/>
      </c>
      <c r="O59" s="15" t="n">
        <v>2022</v>
      </c>
      <c r="P59" s="8" t="inlineStr">
        <is>
          <t>mensal</t>
        </is>
      </c>
    </row>
    <row r="60">
      <c r="A60" s="8" t="inlineStr">
        <is>
          <t>12/2022</t>
        </is>
      </c>
      <c r="B60" s="4">
        <f>'Evolução RMI'!H48</f>
        <v/>
      </c>
      <c r="C60" s="9" t="n">
        <v>0</v>
      </c>
      <c r="D60" s="4">
        <f>B60-C60</f>
        <v/>
      </c>
      <c r="E60" s="12" t="n">
        <v>1</v>
      </c>
      <c r="F60" s="4">
        <f>ROUND(D60*E60,2)</f>
        <v/>
      </c>
      <c r="G60" s="10" t="n">
        <v>0</v>
      </c>
      <c r="H60" s="4">
        <f>ROUND(F60*G60/100,2)</f>
        <v/>
      </c>
      <c r="I60" s="4">
        <f>F60+H60</f>
        <v/>
      </c>
      <c r="J60" s="10" t="n">
        <v>27.83</v>
      </c>
      <c r="K60" s="4">
        <f>ROUND(I60*J60/100,2)</f>
        <v/>
      </c>
      <c r="L60" s="4">
        <f>I60+K60</f>
        <v/>
      </c>
      <c r="M60" s="4">
        <f>F60</f>
        <v/>
      </c>
      <c r="N60" s="4">
        <f>H60+K60</f>
        <v/>
      </c>
      <c r="O60" s="15" t="n">
        <v>2022</v>
      </c>
      <c r="P60" s="8" t="inlineStr">
        <is>
          <t>mensal</t>
        </is>
      </c>
    </row>
    <row r="61">
      <c r="A61" s="8" t="inlineStr">
        <is>
          <t>01/2023</t>
        </is>
      </c>
      <c r="B61" s="4">
        <f>'Evolução RMI'!H49</f>
        <v/>
      </c>
      <c r="C61" s="9" t="n">
        <v>0</v>
      </c>
      <c r="D61" s="4">
        <f>B61-C61</f>
        <v/>
      </c>
      <c r="E61" s="12" t="n">
        <v>1</v>
      </c>
      <c r="F61" s="4">
        <f>ROUND(D61*E61,2)</f>
        <v/>
      </c>
      <c r="G61" s="10" t="n">
        <v>0</v>
      </c>
      <c r="H61" s="4">
        <f>ROUND(F61*G61/100,2)</f>
        <v/>
      </c>
      <c r="I61" s="4">
        <f>F61+H61</f>
        <v/>
      </c>
      <c r="J61" s="10" t="n">
        <v>26.71</v>
      </c>
      <c r="K61" s="4">
        <f>ROUND(I61*J61/100,2)</f>
        <v/>
      </c>
      <c r="L61" s="4">
        <f>I61+K61</f>
        <v/>
      </c>
      <c r="M61" s="4">
        <f>F61</f>
        <v/>
      </c>
      <c r="N61" s="4">
        <f>H61+K61</f>
        <v/>
      </c>
      <c r="O61" s="15" t="n">
        <v>2023</v>
      </c>
      <c r="P61" s="8" t="inlineStr">
        <is>
          <t>mensal</t>
        </is>
      </c>
    </row>
    <row r="62">
      <c r="A62" s="8" t="inlineStr">
        <is>
          <t>02/2023</t>
        </is>
      </c>
      <c r="B62" s="4">
        <f>'Evolução RMI'!H50</f>
        <v/>
      </c>
      <c r="C62" s="9" t="n">
        <v>0</v>
      </c>
      <c r="D62" s="4">
        <f>B62-C62</f>
        <v/>
      </c>
      <c r="E62" s="12" t="n">
        <v>1</v>
      </c>
      <c r="F62" s="4">
        <f>ROUND(D62*E62,2)</f>
        <v/>
      </c>
      <c r="G62" s="10" t="n">
        <v>0</v>
      </c>
      <c r="H62" s="4">
        <f>ROUND(F62*G62/100,2)</f>
        <v/>
      </c>
      <c r="I62" s="4">
        <f>F62+H62</f>
        <v/>
      </c>
      <c r="J62" s="10" t="n">
        <v>25.59</v>
      </c>
      <c r="K62" s="4">
        <f>ROUND(I62*J62/100,2)</f>
        <v/>
      </c>
      <c r="L62" s="4">
        <f>I62+K62</f>
        <v/>
      </c>
      <c r="M62" s="4">
        <f>F62</f>
        <v/>
      </c>
      <c r="N62" s="4">
        <f>H62+K62</f>
        <v/>
      </c>
      <c r="O62" s="15" t="n">
        <v>2023</v>
      </c>
      <c r="P62" s="8" t="inlineStr">
        <is>
          <t>mensal</t>
        </is>
      </c>
    </row>
    <row r="63">
      <c r="A63" s="8" t="inlineStr">
        <is>
          <t>03/2023</t>
        </is>
      </c>
      <c r="B63" s="4">
        <f>'Evolução RMI'!H51</f>
        <v/>
      </c>
      <c r="C63" s="9" t="n">
        <v>0</v>
      </c>
      <c r="D63" s="4">
        <f>B63-C63</f>
        <v/>
      </c>
      <c r="E63" s="12" t="n">
        <v>1</v>
      </c>
      <c r="F63" s="4">
        <f>ROUND(D63*E63,2)</f>
        <v/>
      </c>
      <c r="G63" s="10" t="n">
        <v>0</v>
      </c>
      <c r="H63" s="4">
        <f>ROUND(F63*G63/100,2)</f>
        <v/>
      </c>
      <c r="I63" s="4">
        <f>F63+H63</f>
        <v/>
      </c>
      <c r="J63" s="10" t="n">
        <v>24.67</v>
      </c>
      <c r="K63" s="4">
        <f>ROUND(I63*J63/100,2)</f>
        <v/>
      </c>
      <c r="L63" s="4">
        <f>I63+K63</f>
        <v/>
      </c>
      <c r="M63" s="4">
        <f>F63</f>
        <v/>
      </c>
      <c r="N63" s="4">
        <f>H63+K63</f>
        <v/>
      </c>
      <c r="O63" s="15" t="n">
        <v>2023</v>
      </c>
      <c r="P63" s="8" t="inlineStr">
        <is>
          <t>mensal</t>
        </is>
      </c>
    </row>
    <row r="64">
      <c r="A64" s="8" t="inlineStr">
        <is>
          <t>04/2023</t>
        </is>
      </c>
      <c r="B64" s="4">
        <f>'Evolução RMI'!H52</f>
        <v/>
      </c>
      <c r="C64" s="9" t="n">
        <v>0</v>
      </c>
      <c r="D64" s="4">
        <f>B64-C64</f>
        <v/>
      </c>
      <c r="E64" s="12" t="n">
        <v>1</v>
      </c>
      <c r="F64" s="4">
        <f>ROUND(D64*E64,2)</f>
        <v/>
      </c>
      <c r="G64" s="10" t="n">
        <v>0</v>
      </c>
      <c r="H64" s="4">
        <f>ROUND(F64*G64/100,2)</f>
        <v/>
      </c>
      <c r="I64" s="4">
        <f>F64+H64</f>
        <v/>
      </c>
      <c r="J64" s="10" t="n">
        <v>23.5</v>
      </c>
      <c r="K64" s="4">
        <f>ROUND(I64*J64/100,2)</f>
        <v/>
      </c>
      <c r="L64" s="4">
        <f>I64+K64</f>
        <v/>
      </c>
      <c r="M64" s="4">
        <f>F64</f>
        <v/>
      </c>
      <c r="N64" s="4">
        <f>H64+K64</f>
        <v/>
      </c>
      <c r="O64" s="15" t="n">
        <v>2023</v>
      </c>
      <c r="P64" s="8" t="inlineStr">
        <is>
          <t>mensal</t>
        </is>
      </c>
    </row>
    <row r="65">
      <c r="A65" s="8" t="inlineStr">
        <is>
          <t>05/2023</t>
        </is>
      </c>
      <c r="B65" s="4">
        <f>'Evolução RMI'!H53</f>
        <v/>
      </c>
      <c r="C65" s="9" t="n">
        <v>0</v>
      </c>
      <c r="D65" s="4">
        <f>B65-C65</f>
        <v/>
      </c>
      <c r="E65" s="12" t="n">
        <v>1</v>
      </c>
      <c r="F65" s="4">
        <f>ROUND(D65*E65,2)</f>
        <v/>
      </c>
      <c r="G65" s="10" t="n">
        <v>0</v>
      </c>
      <c r="H65" s="4">
        <f>ROUND(F65*G65/100,2)</f>
        <v/>
      </c>
      <c r="I65" s="4">
        <f>F65+H65</f>
        <v/>
      </c>
      <c r="J65" s="10" t="n">
        <v>22.58</v>
      </c>
      <c r="K65" s="4">
        <f>ROUND(I65*J65/100,2)</f>
        <v/>
      </c>
      <c r="L65" s="4">
        <f>I65+K65</f>
        <v/>
      </c>
      <c r="M65" s="4">
        <f>F65</f>
        <v/>
      </c>
      <c r="N65" s="4">
        <f>H65+K65</f>
        <v/>
      </c>
      <c r="O65" s="15" t="n">
        <v>2023</v>
      </c>
      <c r="P65" s="8" t="inlineStr">
        <is>
          <t>mensal</t>
        </is>
      </c>
    </row>
    <row r="66">
      <c r="A66" s="8" t="inlineStr">
        <is>
          <t>13º</t>
        </is>
      </c>
      <c r="B66" s="4">
        <f>TRUNC('Evolução RMI'!F53/2,2)</f>
        <v/>
      </c>
      <c r="C66" s="9" t="n">
        <v>0</v>
      </c>
      <c r="D66" s="4">
        <f>B66-C66</f>
        <v/>
      </c>
      <c r="E66" s="12" t="n">
        <v>1</v>
      </c>
      <c r="F66" s="4">
        <f>ROUND(D66*E66,2)</f>
        <v/>
      </c>
      <c r="G66" s="10" t="n">
        <v>0</v>
      </c>
      <c r="H66" s="4">
        <f>ROUND(F66*G66/100,2)</f>
        <v/>
      </c>
      <c r="I66" s="4">
        <f>F66+H66</f>
        <v/>
      </c>
      <c r="J66" s="10" t="n">
        <v>22.58</v>
      </c>
      <c r="K66" s="4">
        <f>ROUND(I66*J66/100,2)</f>
        <v/>
      </c>
      <c r="L66" s="4">
        <f>I66+K66</f>
        <v/>
      </c>
      <c r="M66" s="4">
        <f>F66</f>
        <v/>
      </c>
      <c r="N66" s="4">
        <f>H66+K66</f>
        <v/>
      </c>
      <c r="O66" s="15" t="n">
        <v>2023</v>
      </c>
      <c r="P66" s="8" t="inlineStr">
        <is>
          <t>13º</t>
        </is>
      </c>
    </row>
    <row r="67">
      <c r="A67" s="8" t="inlineStr">
        <is>
          <t>06/2023</t>
        </is>
      </c>
      <c r="B67" s="4">
        <f>'Evolução RMI'!H54</f>
        <v/>
      </c>
      <c r="C67" s="9" t="n">
        <v>0</v>
      </c>
      <c r="D67" s="4">
        <f>B67-C67</f>
        <v/>
      </c>
      <c r="E67" s="12" t="n">
        <v>1</v>
      </c>
      <c r="F67" s="4">
        <f>ROUND(D67*E67,2)</f>
        <v/>
      </c>
      <c r="G67" s="10" t="n">
        <v>0</v>
      </c>
      <c r="H67" s="4">
        <f>ROUND(F67*G67/100,2)</f>
        <v/>
      </c>
      <c r="I67" s="4">
        <f>F67+H67</f>
        <v/>
      </c>
      <c r="J67" s="10" t="n">
        <v>21.46</v>
      </c>
      <c r="K67" s="4">
        <f>ROUND(I67*J67/100,2)</f>
        <v/>
      </c>
      <c r="L67" s="4">
        <f>I67+K67</f>
        <v/>
      </c>
      <c r="M67" s="4">
        <f>F67</f>
        <v/>
      </c>
      <c r="N67" s="4">
        <f>H67+K67</f>
        <v/>
      </c>
      <c r="O67" s="15" t="n">
        <v>2023</v>
      </c>
      <c r="P67" s="8" t="inlineStr">
        <is>
          <t>mensal</t>
        </is>
      </c>
    </row>
    <row r="68">
      <c r="A68" s="8" t="inlineStr">
        <is>
          <t>13º</t>
        </is>
      </c>
      <c r="B68" s="4">
        <f>TRUNC('Evolução RMI'!F54*12/12-'Evolução RMI'!F53/2,2)</f>
        <v/>
      </c>
      <c r="C68" s="9" t="n">
        <v>0</v>
      </c>
      <c r="D68" s="4">
        <f>B68-C68</f>
        <v/>
      </c>
      <c r="E68" s="12" t="n">
        <v>1</v>
      </c>
      <c r="F68" s="4">
        <f>ROUND(D68*E68,2)</f>
        <v/>
      </c>
      <c r="G68" s="10" t="n">
        <v>0</v>
      </c>
      <c r="H68" s="4">
        <f>ROUND(F68*G68/100,2)</f>
        <v/>
      </c>
      <c r="I68" s="4">
        <f>F68+H68</f>
        <v/>
      </c>
      <c r="J68" s="10" t="n">
        <v>21.46</v>
      </c>
      <c r="K68" s="4">
        <f>ROUND(I68*J68/100,2)</f>
        <v/>
      </c>
      <c r="L68" s="4">
        <f>I68+K68</f>
        <v/>
      </c>
      <c r="M68" s="4">
        <f>F68</f>
        <v/>
      </c>
      <c r="N68" s="4">
        <f>H68+K68</f>
        <v/>
      </c>
      <c r="O68" s="15" t="n">
        <v>2023</v>
      </c>
      <c r="P68" s="8" t="inlineStr">
        <is>
          <t>13º</t>
        </is>
      </c>
    </row>
    <row r="69">
      <c r="A69" s="8" t="inlineStr">
        <is>
          <t>07/2023</t>
        </is>
      </c>
      <c r="B69" s="4">
        <f>'Evolução RMI'!H55</f>
        <v/>
      </c>
      <c r="C69" s="9" t="n">
        <v>0</v>
      </c>
      <c r="D69" s="4">
        <f>B69-C69</f>
        <v/>
      </c>
      <c r="E69" s="12" t="n">
        <v>1</v>
      </c>
      <c r="F69" s="4">
        <f>ROUND(D69*E69,2)</f>
        <v/>
      </c>
      <c r="G69" s="10" t="n">
        <v>0</v>
      </c>
      <c r="H69" s="4">
        <f>ROUND(F69*G69/100,2)</f>
        <v/>
      </c>
      <c r="I69" s="4">
        <f>F69+H69</f>
        <v/>
      </c>
      <c r="J69" s="10" t="n">
        <v>20.39</v>
      </c>
      <c r="K69" s="4">
        <f>ROUND(I69*J69/100,2)</f>
        <v/>
      </c>
      <c r="L69" s="4">
        <f>I69+K69</f>
        <v/>
      </c>
      <c r="M69" s="4">
        <f>F69</f>
        <v/>
      </c>
      <c r="N69" s="4">
        <f>H69+K69</f>
        <v/>
      </c>
      <c r="O69" s="15" t="n">
        <v>2023</v>
      </c>
      <c r="P69" s="8" t="inlineStr">
        <is>
          <t>mensal</t>
        </is>
      </c>
    </row>
    <row r="70">
      <c r="A70" s="8" t="inlineStr">
        <is>
          <t>08/2023</t>
        </is>
      </c>
      <c r="B70" s="4">
        <f>'Evolução RMI'!H56</f>
        <v/>
      </c>
      <c r="C70" s="9" t="n">
        <v>0</v>
      </c>
      <c r="D70" s="4">
        <f>B70-C70</f>
        <v/>
      </c>
      <c r="E70" s="12" t="n">
        <v>1</v>
      </c>
      <c r="F70" s="4">
        <f>ROUND(D70*E70,2)</f>
        <v/>
      </c>
      <c r="G70" s="10" t="n">
        <v>0</v>
      </c>
      <c r="H70" s="4">
        <f>ROUND(F70*G70/100,2)</f>
        <v/>
      </c>
      <c r="I70" s="4">
        <f>F70+H70</f>
        <v/>
      </c>
      <c r="J70" s="10" t="n">
        <v>19.32</v>
      </c>
      <c r="K70" s="4">
        <f>ROUND(I70*J70/100,2)</f>
        <v/>
      </c>
      <c r="L70" s="4">
        <f>I70+K70</f>
        <v/>
      </c>
      <c r="M70" s="4">
        <f>F70</f>
        <v/>
      </c>
      <c r="N70" s="4">
        <f>H70+K70</f>
        <v/>
      </c>
      <c r="O70" s="15" t="n">
        <v>2023</v>
      </c>
      <c r="P70" s="8" t="inlineStr">
        <is>
          <t>mensal</t>
        </is>
      </c>
    </row>
    <row r="71">
      <c r="A71" s="8" t="inlineStr">
        <is>
          <t>09/2023</t>
        </is>
      </c>
      <c r="B71" s="4">
        <f>'Evolução RMI'!H57</f>
        <v/>
      </c>
      <c r="C71" s="9" t="n">
        <v>0</v>
      </c>
      <c r="D71" s="4">
        <f>B71-C71</f>
        <v/>
      </c>
      <c r="E71" s="12" t="n">
        <v>1</v>
      </c>
      <c r="F71" s="4">
        <f>ROUND(D71*E71,2)</f>
        <v/>
      </c>
      <c r="G71" s="10" t="n">
        <v>0</v>
      </c>
      <c r="H71" s="4">
        <f>ROUND(F71*G71/100,2)</f>
        <v/>
      </c>
      <c r="I71" s="4">
        <f>F71+H71</f>
        <v/>
      </c>
      <c r="J71" s="10" t="n">
        <v>18.18</v>
      </c>
      <c r="K71" s="4">
        <f>ROUND(I71*J71/100,2)</f>
        <v/>
      </c>
      <c r="L71" s="4">
        <f>I71+K71</f>
        <v/>
      </c>
      <c r="M71" s="4">
        <f>F71</f>
        <v/>
      </c>
      <c r="N71" s="4">
        <f>H71+K71</f>
        <v/>
      </c>
      <c r="O71" s="15" t="n">
        <v>2023</v>
      </c>
      <c r="P71" s="8" t="inlineStr">
        <is>
          <t>mensal</t>
        </is>
      </c>
    </row>
    <row r="72">
      <c r="A72" s="8" t="inlineStr">
        <is>
          <t>10/2023</t>
        </is>
      </c>
      <c r="B72" s="4">
        <f>'Evolução RMI'!H58</f>
        <v/>
      </c>
      <c r="C72" s="9" t="n">
        <v>0</v>
      </c>
      <c r="D72" s="4">
        <f>B72-C72</f>
        <v/>
      </c>
      <c r="E72" s="12" t="n">
        <v>1</v>
      </c>
      <c r="F72" s="4">
        <f>ROUND(D72*E72,2)</f>
        <v/>
      </c>
      <c r="G72" s="10" t="n">
        <v>0</v>
      </c>
      <c r="H72" s="4">
        <f>ROUND(F72*G72/100,2)</f>
        <v/>
      </c>
      <c r="I72" s="4">
        <f>F72+H72</f>
        <v/>
      </c>
      <c r="J72" s="10" t="n">
        <v>17.21</v>
      </c>
      <c r="K72" s="4">
        <f>ROUND(I72*J72/100,2)</f>
        <v/>
      </c>
      <c r="L72" s="4">
        <f>I72+K72</f>
        <v/>
      </c>
      <c r="M72" s="4">
        <f>F72</f>
        <v/>
      </c>
      <c r="N72" s="4">
        <f>H72+K72</f>
        <v/>
      </c>
      <c r="O72" s="15" t="n">
        <v>2023</v>
      </c>
      <c r="P72" s="8" t="inlineStr">
        <is>
          <t>mensal</t>
        </is>
      </c>
    </row>
    <row r="73">
      <c r="A73" s="8" t="inlineStr">
        <is>
          <t>11/2023</t>
        </is>
      </c>
      <c r="B73" s="4">
        <f>'Evolução RMI'!H59</f>
        <v/>
      </c>
      <c r="C73" s="9" t="n">
        <v>0</v>
      </c>
      <c r="D73" s="4">
        <f>B73-C73</f>
        <v/>
      </c>
      <c r="E73" s="12" t="n">
        <v>1</v>
      </c>
      <c r="F73" s="4">
        <f>ROUND(D73*E73,2)</f>
        <v/>
      </c>
      <c r="G73" s="10" t="n">
        <v>0</v>
      </c>
      <c r="H73" s="4">
        <f>ROUND(F73*G73/100,2)</f>
        <v/>
      </c>
      <c r="I73" s="4">
        <f>F73+H73</f>
        <v/>
      </c>
      <c r="J73" s="10" t="n">
        <v>16.21</v>
      </c>
      <c r="K73" s="4">
        <f>ROUND(I73*J73/100,2)</f>
        <v/>
      </c>
      <c r="L73" s="4">
        <f>I73+K73</f>
        <v/>
      </c>
      <c r="M73" s="4">
        <f>F73</f>
        <v/>
      </c>
      <c r="N73" s="4">
        <f>H73+K73</f>
        <v/>
      </c>
      <c r="O73" s="15" t="n">
        <v>2023</v>
      </c>
      <c r="P73" s="8" t="inlineStr">
        <is>
          <t>mensal</t>
        </is>
      </c>
    </row>
    <row r="74">
      <c r="A74" s="8" t="inlineStr">
        <is>
          <t>12/2023</t>
        </is>
      </c>
      <c r="B74" s="4">
        <f>'Evolução RMI'!H60</f>
        <v/>
      </c>
      <c r="C74" s="9" t="n">
        <v>0</v>
      </c>
      <c r="D74" s="4">
        <f>B74-C74</f>
        <v/>
      </c>
      <c r="E74" s="12" t="n">
        <v>1</v>
      </c>
      <c r="F74" s="4">
        <f>ROUND(D74*E74,2)</f>
        <v/>
      </c>
      <c r="G74" s="10" t="n">
        <v>0</v>
      </c>
      <c r="H74" s="4">
        <f>ROUND(F74*G74/100,2)</f>
        <v/>
      </c>
      <c r="I74" s="4">
        <f>F74+H74</f>
        <v/>
      </c>
      <c r="J74" s="10" t="n">
        <v>15.29</v>
      </c>
      <c r="K74" s="4">
        <f>ROUND(I74*J74/100,2)</f>
        <v/>
      </c>
      <c r="L74" s="4">
        <f>I74+K74</f>
        <v/>
      </c>
      <c r="M74" s="4">
        <f>F74</f>
        <v/>
      </c>
      <c r="N74" s="4">
        <f>H74+K74</f>
        <v/>
      </c>
      <c r="O74" s="15" t="n">
        <v>2023</v>
      </c>
      <c r="P74" s="8" t="inlineStr">
        <is>
          <t>mensal</t>
        </is>
      </c>
    </row>
    <row r="75">
      <c r="A75" s="8" t="inlineStr">
        <is>
          <t>01/2024</t>
        </is>
      </c>
      <c r="B75" s="4">
        <f>'Evolução RMI'!H61</f>
        <v/>
      </c>
      <c r="C75" s="9" t="n">
        <v>0</v>
      </c>
      <c r="D75" s="4">
        <f>B75-C75</f>
        <v/>
      </c>
      <c r="E75" s="12" t="n">
        <v>1</v>
      </c>
      <c r="F75" s="4">
        <f>ROUND(D75*E75,2)</f>
        <v/>
      </c>
      <c r="G75" s="10" t="n">
        <v>0</v>
      </c>
      <c r="H75" s="4">
        <f>ROUND(F75*G75/100,2)</f>
        <v/>
      </c>
      <c r="I75" s="4">
        <f>F75+H75</f>
        <v/>
      </c>
      <c r="J75" s="10" t="n">
        <v>14.4</v>
      </c>
      <c r="K75" s="4">
        <f>ROUND(I75*J75/100,2)</f>
        <v/>
      </c>
      <c r="L75" s="4">
        <f>I75+K75</f>
        <v/>
      </c>
      <c r="M75" s="4">
        <f>F75</f>
        <v/>
      </c>
      <c r="N75" s="4">
        <f>H75+K75</f>
        <v/>
      </c>
      <c r="O75" s="15" t="n">
        <v>2024</v>
      </c>
      <c r="P75" s="8" t="inlineStr">
        <is>
          <t>mensal</t>
        </is>
      </c>
    </row>
    <row r="76">
      <c r="A76" s="8" t="inlineStr">
        <is>
          <t>02/2024</t>
        </is>
      </c>
      <c r="B76" s="4">
        <f>'Evolução RMI'!H62</f>
        <v/>
      </c>
      <c r="C76" s="9" t="n">
        <v>0</v>
      </c>
      <c r="D76" s="4">
        <f>B76-C76</f>
        <v/>
      </c>
      <c r="E76" s="12" t="n">
        <v>1</v>
      </c>
      <c r="F76" s="4">
        <f>ROUND(D76*E76,2)</f>
        <v/>
      </c>
      <c r="G76" s="10" t="n">
        <v>0</v>
      </c>
      <c r="H76" s="4">
        <f>ROUND(F76*G76/100,2)</f>
        <v/>
      </c>
      <c r="I76" s="4">
        <f>F76+H76</f>
        <v/>
      </c>
      <c r="J76" s="10" t="n">
        <v>13.43</v>
      </c>
      <c r="K76" s="4">
        <f>ROUND(I76*J76/100,2)</f>
        <v/>
      </c>
      <c r="L76" s="4">
        <f>I76+K76</f>
        <v/>
      </c>
      <c r="M76" s="4">
        <f>F76</f>
        <v/>
      </c>
      <c r="N76" s="4">
        <f>H76+K76</f>
        <v/>
      </c>
      <c r="O76" s="15" t="n">
        <v>2024</v>
      </c>
      <c r="P76" s="8" t="inlineStr">
        <is>
          <t>mensal</t>
        </is>
      </c>
    </row>
    <row r="77">
      <c r="A77" s="8" t="inlineStr">
        <is>
          <t>03/2024</t>
        </is>
      </c>
      <c r="B77" s="4">
        <f>'Evolução RMI'!H63</f>
        <v/>
      </c>
      <c r="C77" s="9" t="n">
        <v>0</v>
      </c>
      <c r="D77" s="4">
        <f>B77-C77</f>
        <v/>
      </c>
      <c r="E77" s="12" t="n">
        <v>1</v>
      </c>
      <c r="F77" s="4">
        <f>ROUND(D77*E77,2)</f>
        <v/>
      </c>
      <c r="G77" s="10" t="n">
        <v>0</v>
      </c>
      <c r="H77" s="4">
        <f>ROUND(F77*G77/100,2)</f>
        <v/>
      </c>
      <c r="I77" s="4">
        <f>F77+H77</f>
        <v/>
      </c>
      <c r="J77" s="10" t="n">
        <v>12.63</v>
      </c>
      <c r="K77" s="4">
        <f>ROUND(I77*J77/100,2)</f>
        <v/>
      </c>
      <c r="L77" s="4">
        <f>I77+K77</f>
        <v/>
      </c>
      <c r="M77" s="4">
        <f>F77</f>
        <v/>
      </c>
      <c r="N77" s="4">
        <f>H77+K77</f>
        <v/>
      </c>
      <c r="O77" s="15" t="n">
        <v>2024</v>
      </c>
      <c r="P77" s="8" t="inlineStr">
        <is>
          <t>mensal</t>
        </is>
      </c>
    </row>
    <row r="78">
      <c r="A78" s="8" t="inlineStr">
        <is>
          <t>04/2024</t>
        </is>
      </c>
      <c r="B78" s="4">
        <f>'Evolução RMI'!H64</f>
        <v/>
      </c>
      <c r="C78" s="9" t="n">
        <v>0</v>
      </c>
      <c r="D78" s="4">
        <f>B78-C78</f>
        <v/>
      </c>
      <c r="E78" s="12" t="n">
        <v>1</v>
      </c>
      <c r="F78" s="4">
        <f>ROUND(D78*E78,2)</f>
        <v/>
      </c>
      <c r="G78" s="10" t="n">
        <v>0</v>
      </c>
      <c r="H78" s="4">
        <f>ROUND(F78*G78/100,2)</f>
        <v/>
      </c>
      <c r="I78" s="4">
        <f>F78+H78</f>
        <v/>
      </c>
      <c r="J78" s="10" t="n">
        <v>11.8</v>
      </c>
      <c r="K78" s="4">
        <f>ROUND(I78*J78/100,2)</f>
        <v/>
      </c>
      <c r="L78" s="4">
        <f>I78+K78</f>
        <v/>
      </c>
      <c r="M78" s="4">
        <f>F78</f>
        <v/>
      </c>
      <c r="N78" s="4">
        <f>H78+K78</f>
        <v/>
      </c>
      <c r="O78" s="15" t="n">
        <v>2024</v>
      </c>
      <c r="P78" s="8" t="inlineStr">
        <is>
          <t>mensal</t>
        </is>
      </c>
    </row>
    <row r="79">
      <c r="A79" s="8" t="inlineStr">
        <is>
          <t>13º</t>
        </is>
      </c>
      <c r="B79" s="4">
        <f>TRUNC('Evolução RMI'!F64/2,2)</f>
        <v/>
      </c>
      <c r="C79" s="9" t="n">
        <v>0</v>
      </c>
      <c r="D79" s="4">
        <f>B79-C79</f>
        <v/>
      </c>
      <c r="E79" s="12" t="n">
        <v>1</v>
      </c>
      <c r="F79" s="4">
        <f>ROUND(D79*E79,2)</f>
        <v/>
      </c>
      <c r="G79" s="10" t="n">
        <v>0</v>
      </c>
      <c r="H79" s="4">
        <f>ROUND(F79*G79/100,2)</f>
        <v/>
      </c>
      <c r="I79" s="4">
        <f>F79+H79</f>
        <v/>
      </c>
      <c r="J79" s="10" t="n">
        <v>11.8</v>
      </c>
      <c r="K79" s="4">
        <f>ROUND(I79*J79/100,2)</f>
        <v/>
      </c>
      <c r="L79" s="4">
        <f>I79+K79</f>
        <v/>
      </c>
      <c r="M79" s="4">
        <f>F79</f>
        <v/>
      </c>
      <c r="N79" s="4">
        <f>H79+K79</f>
        <v/>
      </c>
      <c r="O79" s="15" t="n">
        <v>2024</v>
      </c>
      <c r="P79" s="8" t="inlineStr">
        <is>
          <t>13º</t>
        </is>
      </c>
    </row>
    <row r="80">
      <c r="A80" s="8" t="inlineStr">
        <is>
          <t>05/2024</t>
        </is>
      </c>
      <c r="B80" s="4">
        <f>'Evolução RMI'!H65</f>
        <v/>
      </c>
      <c r="C80" s="9" t="n">
        <v>0</v>
      </c>
      <c r="D80" s="4">
        <f>B80-C80</f>
        <v/>
      </c>
      <c r="E80" s="12" t="n">
        <v>1</v>
      </c>
      <c r="F80" s="4">
        <f>ROUND(D80*E80,2)</f>
        <v/>
      </c>
      <c r="G80" s="10" t="n">
        <v>0</v>
      </c>
      <c r="H80" s="4">
        <f>ROUND(F80*G80/100,2)</f>
        <v/>
      </c>
      <c r="I80" s="4">
        <f>F80+H80</f>
        <v/>
      </c>
      <c r="J80" s="10" t="n">
        <v>10.91</v>
      </c>
      <c r="K80" s="4">
        <f>ROUND(I80*J80/100,2)</f>
        <v/>
      </c>
      <c r="L80" s="4">
        <f>I80+K80</f>
        <v/>
      </c>
      <c r="M80" s="4">
        <f>F80</f>
        <v/>
      </c>
      <c r="N80" s="4">
        <f>H80+K80</f>
        <v/>
      </c>
      <c r="O80" s="15" t="n">
        <v>2024</v>
      </c>
      <c r="P80" s="8" t="inlineStr">
        <is>
          <t>mensal</t>
        </is>
      </c>
    </row>
    <row r="81">
      <c r="A81" s="8" t="inlineStr">
        <is>
          <t>13º</t>
        </is>
      </c>
      <c r="B81" s="4">
        <f>TRUNC('Evolução RMI'!F65*12/12-'Evolução RMI'!F64/2,2)</f>
        <v/>
      </c>
      <c r="C81" s="9" t="n">
        <v>0</v>
      </c>
      <c r="D81" s="4">
        <f>B81-C81</f>
        <v/>
      </c>
      <c r="E81" s="12" t="n">
        <v>1</v>
      </c>
      <c r="F81" s="4">
        <f>ROUND(D81*E81,2)</f>
        <v/>
      </c>
      <c r="G81" s="10" t="n">
        <v>0</v>
      </c>
      <c r="H81" s="4">
        <f>ROUND(F81*G81/100,2)</f>
        <v/>
      </c>
      <c r="I81" s="4">
        <f>F81+H81</f>
        <v/>
      </c>
      <c r="J81" s="10" t="n">
        <v>10.91</v>
      </c>
      <c r="K81" s="4">
        <f>ROUND(I81*J81/100,2)</f>
        <v/>
      </c>
      <c r="L81" s="4">
        <f>I81+K81</f>
        <v/>
      </c>
      <c r="M81" s="4">
        <f>F81</f>
        <v/>
      </c>
      <c r="N81" s="4">
        <f>H81+K81</f>
        <v/>
      </c>
      <c r="O81" s="15" t="n">
        <v>2024</v>
      </c>
      <c r="P81" s="8" t="inlineStr">
        <is>
          <t>13º</t>
        </is>
      </c>
    </row>
    <row r="82">
      <c r="A82" s="8" t="inlineStr">
        <is>
          <t>06/2024</t>
        </is>
      </c>
      <c r="B82" s="4">
        <f>'Evolução RMI'!H66</f>
        <v/>
      </c>
      <c r="C82" s="9" t="n">
        <v>0</v>
      </c>
      <c r="D82" s="4">
        <f>B82-C82</f>
        <v/>
      </c>
      <c r="E82" s="12" t="n">
        <v>1</v>
      </c>
      <c r="F82" s="4">
        <f>ROUND(D82*E82,2)</f>
        <v/>
      </c>
      <c r="G82" s="10" t="n">
        <v>0</v>
      </c>
      <c r="H82" s="4">
        <f>ROUND(F82*G82/100,2)</f>
        <v/>
      </c>
      <c r="I82" s="4">
        <f>F82+H82</f>
        <v/>
      </c>
      <c r="J82" s="10" t="n">
        <v>10.08</v>
      </c>
      <c r="K82" s="4">
        <f>ROUND(I82*J82/100,2)</f>
        <v/>
      </c>
      <c r="L82" s="4">
        <f>I82+K82</f>
        <v/>
      </c>
      <c r="M82" s="4">
        <f>F82</f>
        <v/>
      </c>
      <c r="N82" s="4">
        <f>H82+K82</f>
        <v/>
      </c>
      <c r="O82" s="15" t="n">
        <v>2024</v>
      </c>
      <c r="P82" s="8" t="inlineStr">
        <is>
          <t>mensal</t>
        </is>
      </c>
    </row>
    <row r="83">
      <c r="A83" s="8" t="inlineStr">
        <is>
          <t>07/2024</t>
        </is>
      </c>
      <c r="B83" s="4">
        <f>'Evolução RMI'!H67</f>
        <v/>
      </c>
      <c r="C83" s="9" t="n">
        <v>0</v>
      </c>
      <c r="D83" s="4">
        <f>B83-C83</f>
        <v/>
      </c>
      <c r="E83" s="12" t="n">
        <v>1</v>
      </c>
      <c r="F83" s="4">
        <f>ROUND(D83*E83,2)</f>
        <v/>
      </c>
      <c r="G83" s="10" t="n">
        <v>0</v>
      </c>
      <c r="H83" s="4">
        <f>ROUND(F83*G83/100,2)</f>
        <v/>
      </c>
      <c r="I83" s="4">
        <f>F83+H83</f>
        <v/>
      </c>
      <c r="J83" s="10" t="n">
        <v>9.289999999999999</v>
      </c>
      <c r="K83" s="4">
        <f>ROUND(I83*J83/100,2)</f>
        <v/>
      </c>
      <c r="L83" s="4">
        <f>I83+K83</f>
        <v/>
      </c>
      <c r="M83" s="4">
        <f>F83</f>
        <v/>
      </c>
      <c r="N83" s="4">
        <f>H83+K83</f>
        <v/>
      </c>
      <c r="O83" s="15" t="n">
        <v>2024</v>
      </c>
      <c r="P83" s="8" t="inlineStr">
        <is>
          <t>mensal</t>
        </is>
      </c>
    </row>
    <row r="84">
      <c r="A84" s="8" t="inlineStr">
        <is>
          <t>08/2024</t>
        </is>
      </c>
      <c r="B84" s="4">
        <f>'Evolução RMI'!H68</f>
        <v/>
      </c>
      <c r="C84" s="9" t="n">
        <v>0</v>
      </c>
      <c r="D84" s="4">
        <f>B84-C84</f>
        <v/>
      </c>
      <c r="E84" s="12" t="n">
        <v>1</v>
      </c>
      <c r="F84" s="4">
        <f>ROUND(D84*E84,2)</f>
        <v/>
      </c>
      <c r="G84" s="10" t="n">
        <v>0</v>
      </c>
      <c r="H84" s="4">
        <f>ROUND(F84*G84/100,2)</f>
        <v/>
      </c>
      <c r="I84" s="4">
        <f>F84+H84</f>
        <v/>
      </c>
      <c r="J84" s="10" t="n">
        <v>8.380000000000001</v>
      </c>
      <c r="K84" s="4">
        <f>ROUND(I84*J84/100,2)</f>
        <v/>
      </c>
      <c r="L84" s="4">
        <f>I84+K84</f>
        <v/>
      </c>
      <c r="M84" s="4">
        <f>F84</f>
        <v/>
      </c>
      <c r="N84" s="4">
        <f>H84+K84</f>
        <v/>
      </c>
      <c r="O84" s="15" t="n">
        <v>2024</v>
      </c>
      <c r="P84" s="8" t="inlineStr">
        <is>
          <t>mensal</t>
        </is>
      </c>
    </row>
    <row r="85">
      <c r="A85" s="8" t="inlineStr">
        <is>
          <t>09/2024</t>
        </is>
      </c>
      <c r="B85" s="4">
        <f>'Evolução RMI'!H69</f>
        <v/>
      </c>
      <c r="C85" s="9" t="n">
        <v>0</v>
      </c>
      <c r="D85" s="4">
        <f>B85-C85</f>
        <v/>
      </c>
      <c r="E85" s="12" t="n">
        <v>1</v>
      </c>
      <c r="F85" s="4">
        <f>ROUND(D85*E85,2)</f>
        <v/>
      </c>
      <c r="G85" s="10" t="n">
        <v>0</v>
      </c>
      <c r="H85" s="4">
        <f>ROUND(F85*G85/100,2)</f>
        <v/>
      </c>
      <c r="I85" s="4">
        <f>F85+H85</f>
        <v/>
      </c>
      <c r="J85" s="10" t="n">
        <v>7.51</v>
      </c>
      <c r="K85" s="4">
        <f>ROUND(I85*J85/100,2)</f>
        <v/>
      </c>
      <c r="L85" s="4">
        <f>I85+K85</f>
        <v/>
      </c>
      <c r="M85" s="4">
        <f>F85</f>
        <v/>
      </c>
      <c r="N85" s="4">
        <f>H85+K85</f>
        <v/>
      </c>
      <c r="O85" s="15" t="n">
        <v>2024</v>
      </c>
      <c r="P85" s="8" t="inlineStr">
        <is>
          <t>mensal</t>
        </is>
      </c>
    </row>
    <row r="86">
      <c r="A86" s="8" t="inlineStr">
        <is>
          <t>10/2024</t>
        </is>
      </c>
      <c r="B86" s="4">
        <f>'Evolução RMI'!H70</f>
        <v/>
      </c>
      <c r="C86" s="9" t="n">
        <v>0</v>
      </c>
      <c r="D86" s="4">
        <f>B86-C86</f>
        <v/>
      </c>
      <c r="E86" s="12" t="n">
        <v>1</v>
      </c>
      <c r="F86" s="4">
        <f>ROUND(D86*E86,2)</f>
        <v/>
      </c>
      <c r="G86" s="10" t="n">
        <v>0</v>
      </c>
      <c r="H86" s="4">
        <f>ROUND(F86*G86/100,2)</f>
        <v/>
      </c>
      <c r="I86" s="4">
        <f>F86+H86</f>
        <v/>
      </c>
      <c r="J86" s="10" t="n">
        <v>6.67</v>
      </c>
      <c r="K86" s="4">
        <f>ROUND(I86*J86/100,2)</f>
        <v/>
      </c>
      <c r="L86" s="4">
        <f>I86+K86</f>
        <v/>
      </c>
      <c r="M86" s="4">
        <f>F86</f>
        <v/>
      </c>
      <c r="N86" s="4">
        <f>H86+K86</f>
        <v/>
      </c>
      <c r="O86" s="15" t="n">
        <v>2024</v>
      </c>
      <c r="P86" s="8" t="inlineStr">
        <is>
          <t>mensal</t>
        </is>
      </c>
    </row>
    <row r="87">
      <c r="A87" s="8" t="inlineStr">
        <is>
          <t>11/2024</t>
        </is>
      </c>
      <c r="B87" s="4">
        <f>'Evolução RMI'!H71</f>
        <v/>
      </c>
      <c r="C87" s="9" t="n">
        <v>0</v>
      </c>
      <c r="D87" s="4">
        <f>B87-C87</f>
        <v/>
      </c>
      <c r="E87" s="12" t="n">
        <v>1</v>
      </c>
      <c r="F87" s="4">
        <f>ROUND(D87*E87,2)</f>
        <v/>
      </c>
      <c r="G87" s="10" t="n">
        <v>0</v>
      </c>
      <c r="H87" s="4">
        <f>ROUND(F87*G87/100,2)</f>
        <v/>
      </c>
      <c r="I87" s="4">
        <f>F87+H87</f>
        <v/>
      </c>
      <c r="J87" s="10" t="n">
        <v>5.74</v>
      </c>
      <c r="K87" s="4">
        <f>ROUND(I87*J87/100,2)</f>
        <v/>
      </c>
      <c r="L87" s="4">
        <f>I87+K87</f>
        <v/>
      </c>
      <c r="M87" s="4">
        <f>F87</f>
        <v/>
      </c>
      <c r="N87" s="4">
        <f>H87+K87</f>
        <v/>
      </c>
      <c r="O87" s="15" t="n">
        <v>2024</v>
      </c>
      <c r="P87" s="8" t="inlineStr">
        <is>
          <t>mensal</t>
        </is>
      </c>
    </row>
    <row r="88">
      <c r="A88" s="8" t="inlineStr">
        <is>
          <t>12/2024</t>
        </is>
      </c>
      <c r="B88" s="4">
        <f>'Evolução RMI'!H72</f>
        <v/>
      </c>
      <c r="C88" s="9" t="n">
        <v>0</v>
      </c>
      <c r="D88" s="4">
        <f>B88-C88</f>
        <v/>
      </c>
      <c r="E88" s="12" t="n">
        <v>1</v>
      </c>
      <c r="F88" s="4">
        <f>ROUND(D88*E88,2)</f>
        <v/>
      </c>
      <c r="G88" s="10" t="n">
        <v>0</v>
      </c>
      <c r="H88" s="4">
        <f>ROUND(F88*G88/100,2)</f>
        <v/>
      </c>
      <c r="I88" s="4">
        <f>F88+H88</f>
        <v/>
      </c>
      <c r="J88" s="10" t="n">
        <v>4.95</v>
      </c>
      <c r="K88" s="4">
        <f>ROUND(I88*J88/100,2)</f>
        <v/>
      </c>
      <c r="L88" s="4">
        <f>I88+K88</f>
        <v/>
      </c>
      <c r="M88" s="4">
        <f>F88</f>
        <v/>
      </c>
      <c r="N88" s="4">
        <f>H88+K88</f>
        <v/>
      </c>
      <c r="O88" s="15" t="n">
        <v>2024</v>
      </c>
      <c r="P88" s="8" t="inlineStr">
        <is>
          <t>mensal</t>
        </is>
      </c>
    </row>
    <row r="89">
      <c r="A89" s="8" t="inlineStr">
        <is>
          <t>01/2025</t>
        </is>
      </c>
      <c r="B89" s="4">
        <f>'Evolução RMI'!H73</f>
        <v/>
      </c>
      <c r="C89" s="9" t="n">
        <v>0</v>
      </c>
      <c r="D89" s="4">
        <f>B89-C89</f>
        <v/>
      </c>
      <c r="E89" s="12" t="n">
        <v>1</v>
      </c>
      <c r="F89" s="4">
        <f>ROUND(D89*E89,2)</f>
        <v/>
      </c>
      <c r="G89" s="10" t="n">
        <v>0</v>
      </c>
      <c r="H89" s="4">
        <f>ROUND(F89*G89/100,2)</f>
        <v/>
      </c>
      <c r="I89" s="4">
        <f>F89+H89</f>
        <v/>
      </c>
      <c r="J89" s="10" t="n">
        <v>4.02</v>
      </c>
      <c r="K89" s="4">
        <f>ROUND(I89*J89/100,2)</f>
        <v/>
      </c>
      <c r="L89" s="4">
        <f>I89+K89</f>
        <v/>
      </c>
      <c r="M89" s="4">
        <f>F89</f>
        <v/>
      </c>
      <c r="N89" s="4">
        <f>H89+K89</f>
        <v/>
      </c>
      <c r="O89" s="15" t="n">
        <v>2025</v>
      </c>
      <c r="P89" s="8" t="inlineStr">
        <is>
          <t>mensal</t>
        </is>
      </c>
    </row>
    <row r="90">
      <c r="A90" s="8" t="inlineStr">
        <is>
          <t>02/2025</t>
        </is>
      </c>
      <c r="B90" s="4">
        <f>'Evolução RMI'!H74</f>
        <v/>
      </c>
      <c r="C90" s="9" t="n">
        <v>0</v>
      </c>
      <c r="D90" s="4">
        <f>B90-C90</f>
        <v/>
      </c>
      <c r="E90" s="12" t="n">
        <v>1</v>
      </c>
      <c r="F90" s="4">
        <f>ROUND(D90*E90,2)</f>
        <v/>
      </c>
      <c r="G90" s="10" t="n">
        <v>0</v>
      </c>
      <c r="H90" s="4">
        <f>ROUND(F90*G90/100,2)</f>
        <v/>
      </c>
      <c r="I90" s="4">
        <f>F90+H90</f>
        <v/>
      </c>
      <c r="J90" s="10" t="n">
        <v>3.01</v>
      </c>
      <c r="K90" s="4">
        <f>ROUND(I90*J90/100,2)</f>
        <v/>
      </c>
      <c r="L90" s="4">
        <f>I90+K90</f>
        <v/>
      </c>
      <c r="M90" s="4">
        <f>F90</f>
        <v/>
      </c>
      <c r="N90" s="4">
        <f>H90+K90</f>
        <v/>
      </c>
      <c r="O90" s="15" t="n">
        <v>2025</v>
      </c>
      <c r="P90" s="8" t="inlineStr">
        <is>
          <t>mensal</t>
        </is>
      </c>
    </row>
    <row r="91">
      <c r="A91" s="2" t="inlineStr">
        <is>
          <t>Totais:</t>
        </is>
      </c>
      <c r="B91" s="5">
        <f>SUM(B15:B90)</f>
        <v/>
      </c>
      <c r="C91" s="5">
        <f>SUM(C15:C90)</f>
        <v/>
      </c>
      <c r="D91" s="5">
        <f>SUM(D15:D90)</f>
        <v/>
      </c>
      <c r="F91" s="5">
        <f>SUM(F15:F90)</f>
        <v/>
      </c>
      <c r="H91" s="5">
        <f>SUM(H15:H90)</f>
        <v/>
      </c>
      <c r="I91" s="5">
        <f>SUM(I15:I90)</f>
        <v/>
      </c>
      <c r="K91" s="5">
        <f>SUM(K15:K90)</f>
        <v/>
      </c>
      <c r="L91" s="5">
        <f>SUM(L15:L90)</f>
        <v/>
      </c>
      <c r="M91" s="5">
        <f>SUM(M15:M90)</f>
        <v/>
      </c>
      <c r="N91" s="5">
        <f>SUM(N15:N90)</f>
        <v/>
      </c>
    </row>
    <row r="93">
      <c r="A93" s="2" t="inlineStr">
        <is>
          <t>R.M.A.:</t>
        </is>
      </c>
      <c r="B93" s="4">
        <f>'Evolução RMI'!F77</f>
        <v/>
      </c>
    </row>
    <row r="94">
      <c r="A94" t="inlineStr">
        <is>
          <t>Nº de meses com diferenças: 65</t>
        </is>
      </c>
    </row>
    <row r="95">
      <c r="A95" s="16" t="inlineStr">
        <is>
          <t>Tabela da Justiça Federal (previdenciário): ORTN 10/1964–02/1986; OTN 03/1986–01/1989; IPC 01/1989–02/1989; BTN 03/1989–03/1990; IPC 03/1990–02/1991; INPC 03/1991–12/1992; IRSM 01/1993–02/1994; URV 03/1994–06/1994; IPC-r 07/1994–06/1995; INPC 07/1995–04/1996; IGP-DI 05/1996–08/2006; INPC a partir de 09/2006.</t>
        </is>
      </c>
    </row>
    <row r="97">
      <c r="A97" s="2" t="inlineStr">
        <is>
          <t>Cristiano da Silva Ottone  OAB/MG 152.214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>
      <c r="A1" s="1" t="inlineStr">
        <is>
          <t>Cálculo dos Honorários</t>
        </is>
      </c>
    </row>
    <row r="2">
      <c r="A2" s="2" t="inlineStr">
        <is>
          <t>Nome do Segurado:</t>
        </is>
      </c>
      <c r="B2" t="inlineStr">
        <is>
          <t>SEGURADO EXEMPLO</t>
        </is>
      </c>
      <c r="D2" s="2" t="inlineStr">
        <is>
          <t>NIT:</t>
        </is>
      </c>
      <c r="E2" t="inlineStr">
        <is>
          <t>000.00000.00-0</t>
        </is>
      </c>
    </row>
    <row r="3">
      <c r="A3" s="2" t="inlineStr">
        <is>
          <t>CPF:</t>
        </is>
      </c>
      <c r="B3" t="inlineStr">
        <is>
          <t>000.000.000-00</t>
        </is>
      </c>
      <c r="D3" s="2" t="inlineStr">
        <is>
          <t>Data de Nascimento:</t>
        </is>
      </c>
      <c r="E3" t="inlineStr">
        <is>
          <t>13/08/1976</t>
        </is>
      </c>
    </row>
    <row r="4">
      <c r="A4" s="2" t="inlineStr">
        <is>
          <t>Sexo:</t>
        </is>
      </c>
      <c r="B4" t="inlineStr">
        <is>
          <t>Masculino</t>
        </is>
      </c>
      <c r="D4" s="2" t="inlineStr">
        <is>
          <t>Nº do Benefício:</t>
        </is>
      </c>
      <c r="E4" t="inlineStr">
        <is>
          <t>000.000.000-0</t>
        </is>
      </c>
    </row>
    <row r="5">
      <c r="A5" s="2" t="inlineStr">
        <is>
          <t>Espécie do Benefício:</t>
        </is>
      </c>
      <c r="B5" t="inlineStr">
        <is>
          <t>46 - Aposentadoria Especial</t>
        </is>
      </c>
      <c r="D5" s="2" t="inlineStr">
        <is>
          <t>Nº do Processo:</t>
        </is>
      </c>
      <c r="E5" t="inlineStr">
        <is>
          <t>0000000-00.2021.4.01.3800</t>
        </is>
      </c>
    </row>
    <row r="6">
      <c r="A6" s="2" t="inlineStr">
        <is>
          <t>Início do Benefício (DIB):</t>
        </is>
      </c>
      <c r="B6" t="inlineStr">
        <is>
          <t>16/10/2019</t>
        </is>
      </c>
      <c r="D6" s="2" t="inlineStr">
        <is>
          <t>Data da Atualização:</t>
        </is>
      </c>
      <c r="E6" t="inlineStr">
        <is>
          <t>08/05/2025</t>
        </is>
      </c>
    </row>
    <row r="7">
      <c r="A7" s="2" t="inlineStr">
        <is>
          <t>Ajuizamento:</t>
        </is>
      </c>
      <c r="B7" t="inlineStr">
        <is>
          <t>21/01/2021</t>
        </is>
      </c>
      <c r="D7" s="2" t="inlineStr">
        <is>
          <t>Data da Prescrição:</t>
        </is>
      </c>
      <c r="E7" t="inlineStr">
        <is>
          <t>16/10/2019</t>
        </is>
      </c>
    </row>
    <row r="9">
      <c r="A9" s="2" t="inlineStr">
        <is>
          <t>Honorários de</t>
        </is>
      </c>
      <c r="B9" s="13">
        <f>'Parâmetros'!$B$21</f>
        <v/>
      </c>
      <c r="C9" t="inlineStr">
        <is>
          <t>% sobre a base de cálculo atualizada e sobre os juros.</t>
        </is>
      </c>
    </row>
    <row r="11" ht="32" customHeight="1">
      <c r="A11" s="11" t="inlineStr">
        <is>
          <t>Data</t>
        </is>
      </c>
      <c r="B11" s="11" t="inlineStr">
        <is>
          <t>Base de Cálculo</t>
        </is>
      </c>
      <c r="C11" s="11" t="inlineStr">
        <is>
          <t>Base de Cálculo Atualizada</t>
        </is>
      </c>
      <c r="D11" s="11" t="inlineStr">
        <is>
          <t>Juros Sobre a Base de Cálculo</t>
        </is>
      </c>
      <c r="E11" s="11" t="inlineStr">
        <is>
          <t>Base Atualizada + Juros</t>
        </is>
      </c>
      <c r="F11" s="11" t="inlineStr">
        <is>
          <t>Valor Calculado</t>
        </is>
      </c>
    </row>
    <row r="12">
      <c r="A12" s="8" t="inlineStr">
        <is>
          <t>10/2019</t>
        </is>
      </c>
      <c r="B12" s="4">
        <f>'Diferenças'!D15</f>
        <v/>
      </c>
      <c r="C12" s="4">
        <f>'Diferenças'!M15</f>
        <v/>
      </c>
      <c r="D12" s="4">
        <f>'Diferenças'!N15</f>
        <v/>
      </c>
      <c r="E12" s="4">
        <f>C12+D12</f>
        <v/>
      </c>
      <c r="F12" s="4">
        <f>ROUND(E12*'Parâmetros'!$B$21/100,2)</f>
        <v/>
      </c>
    </row>
    <row r="13">
      <c r="A13" s="8" t="inlineStr">
        <is>
          <t>11/2019</t>
        </is>
      </c>
      <c r="B13" s="4">
        <f>'Diferenças'!D16</f>
        <v/>
      </c>
      <c r="C13" s="4">
        <f>'Diferenças'!M16</f>
        <v/>
      </c>
      <c r="D13" s="4">
        <f>'Diferenças'!N16</f>
        <v/>
      </c>
      <c r="E13" s="4">
        <f>C13+D13</f>
        <v/>
      </c>
      <c r="F13" s="4">
        <f>ROUND(E13*'Parâmetros'!$B$21/100,2)</f>
        <v/>
      </c>
    </row>
    <row r="14">
      <c r="A14" s="8" t="inlineStr">
        <is>
          <t>12/2019</t>
        </is>
      </c>
      <c r="B14" s="4">
        <f>'Diferenças'!D17</f>
        <v/>
      </c>
      <c r="C14" s="4">
        <f>'Diferenças'!M17</f>
        <v/>
      </c>
      <c r="D14" s="4">
        <f>'Diferenças'!N17</f>
        <v/>
      </c>
      <c r="E14" s="4">
        <f>C14+D14</f>
        <v/>
      </c>
      <c r="F14" s="4">
        <f>ROUND(E14*'Parâmetros'!$B$21/100,2)</f>
        <v/>
      </c>
    </row>
    <row r="15">
      <c r="A15" s="8" t="inlineStr">
        <is>
          <t>13º</t>
        </is>
      </c>
      <c r="B15" s="4">
        <f>'Diferenças'!D18</f>
        <v/>
      </c>
      <c r="C15" s="4">
        <f>'Diferenças'!M18</f>
        <v/>
      </c>
      <c r="D15" s="4">
        <f>'Diferenças'!N18</f>
        <v/>
      </c>
      <c r="E15" s="4">
        <f>C15+D15</f>
        <v/>
      </c>
      <c r="F15" s="4">
        <f>ROUND(E15*'Parâmetros'!$B$21/100,2)</f>
        <v/>
      </c>
    </row>
    <row r="16">
      <c r="A16" s="8" t="inlineStr">
        <is>
          <t>01/2020</t>
        </is>
      </c>
      <c r="B16" s="4">
        <f>'Diferenças'!D19</f>
        <v/>
      </c>
      <c r="C16" s="4">
        <f>'Diferenças'!M19</f>
        <v/>
      </c>
      <c r="D16" s="4">
        <f>'Diferenças'!N19</f>
        <v/>
      </c>
      <c r="E16" s="4">
        <f>C16+D16</f>
        <v/>
      </c>
      <c r="F16" s="4">
        <f>ROUND(E16*'Parâmetros'!$B$21/100,2)</f>
        <v/>
      </c>
    </row>
    <row r="17">
      <c r="A17" s="8" t="inlineStr">
        <is>
          <t>02/2020</t>
        </is>
      </c>
      <c r="B17" s="4">
        <f>'Diferenças'!D20</f>
        <v/>
      </c>
      <c r="C17" s="4">
        <f>'Diferenças'!M20</f>
        <v/>
      </c>
      <c r="D17" s="4">
        <f>'Diferenças'!N20</f>
        <v/>
      </c>
      <c r="E17" s="4">
        <f>C17+D17</f>
        <v/>
      </c>
      <c r="F17" s="4">
        <f>ROUND(E17*'Parâmetros'!$B$21/100,2)</f>
        <v/>
      </c>
    </row>
    <row r="18">
      <c r="A18" s="8" t="inlineStr">
        <is>
          <t>03/2020</t>
        </is>
      </c>
      <c r="B18" s="4">
        <f>'Diferenças'!D21</f>
        <v/>
      </c>
      <c r="C18" s="4">
        <f>'Diferenças'!M21</f>
        <v/>
      </c>
      <c r="D18" s="4">
        <f>'Diferenças'!N21</f>
        <v/>
      </c>
      <c r="E18" s="4">
        <f>C18+D18</f>
        <v/>
      </c>
      <c r="F18" s="4">
        <f>ROUND(E18*'Parâmetros'!$B$21/100,2)</f>
        <v/>
      </c>
    </row>
    <row r="19">
      <c r="A19" s="8" t="inlineStr">
        <is>
          <t>04/2020</t>
        </is>
      </c>
      <c r="B19" s="4">
        <f>'Diferenças'!D22</f>
        <v/>
      </c>
      <c r="C19" s="4">
        <f>'Diferenças'!M22</f>
        <v/>
      </c>
      <c r="D19" s="4">
        <f>'Diferenças'!N22</f>
        <v/>
      </c>
      <c r="E19" s="4">
        <f>C19+D19</f>
        <v/>
      </c>
      <c r="F19" s="4">
        <f>ROUND(E19*'Parâmetros'!$B$21/100,2)</f>
        <v/>
      </c>
    </row>
    <row r="20">
      <c r="A20" s="8" t="inlineStr">
        <is>
          <t>13º</t>
        </is>
      </c>
      <c r="B20" s="4">
        <f>'Diferenças'!D23</f>
        <v/>
      </c>
      <c r="C20" s="4">
        <f>'Diferenças'!M23</f>
        <v/>
      </c>
      <c r="D20" s="4">
        <f>'Diferenças'!N23</f>
        <v/>
      </c>
      <c r="E20" s="4">
        <f>C20+D20</f>
        <v/>
      </c>
      <c r="F20" s="4">
        <f>ROUND(E20*'Parâmetros'!$B$21/100,2)</f>
        <v/>
      </c>
    </row>
    <row r="21">
      <c r="A21" s="8" t="inlineStr">
        <is>
          <t>05/2020</t>
        </is>
      </c>
      <c r="B21" s="4">
        <f>'Diferenças'!D24</f>
        <v/>
      </c>
      <c r="C21" s="4">
        <f>'Diferenças'!M24</f>
        <v/>
      </c>
      <c r="D21" s="4">
        <f>'Diferenças'!N24</f>
        <v/>
      </c>
      <c r="E21" s="4">
        <f>C21+D21</f>
        <v/>
      </c>
      <c r="F21" s="4">
        <f>ROUND(E21*'Parâmetros'!$B$21/100,2)</f>
        <v/>
      </c>
    </row>
    <row r="22">
      <c r="A22" s="8" t="inlineStr">
        <is>
          <t>13º</t>
        </is>
      </c>
      <c r="B22" s="4">
        <f>'Diferenças'!D25</f>
        <v/>
      </c>
      <c r="C22" s="4">
        <f>'Diferenças'!M25</f>
        <v/>
      </c>
      <c r="D22" s="4">
        <f>'Diferenças'!N25</f>
        <v/>
      </c>
      <c r="E22" s="4">
        <f>C22+D22</f>
        <v/>
      </c>
      <c r="F22" s="4">
        <f>ROUND(E22*'Parâmetros'!$B$21/100,2)</f>
        <v/>
      </c>
    </row>
    <row r="23">
      <c r="A23" s="8" t="inlineStr">
        <is>
          <t>06/2020</t>
        </is>
      </c>
      <c r="B23" s="4">
        <f>'Diferenças'!D26</f>
        <v/>
      </c>
      <c r="C23" s="4">
        <f>'Diferenças'!M26</f>
        <v/>
      </c>
      <c r="D23" s="4">
        <f>'Diferenças'!N26</f>
        <v/>
      </c>
      <c r="E23" s="4">
        <f>C23+D23</f>
        <v/>
      </c>
      <c r="F23" s="4">
        <f>ROUND(E23*'Parâmetros'!$B$21/100,2)</f>
        <v/>
      </c>
    </row>
    <row r="24">
      <c r="A24" s="8" t="inlineStr">
        <is>
          <t>07/2020</t>
        </is>
      </c>
      <c r="B24" s="4">
        <f>'Diferenças'!D27</f>
        <v/>
      </c>
      <c r="C24" s="4">
        <f>'Diferenças'!M27</f>
        <v/>
      </c>
      <c r="D24" s="4">
        <f>'Diferenças'!N27</f>
        <v/>
      </c>
      <c r="E24" s="4">
        <f>C24+D24</f>
        <v/>
      </c>
      <c r="F24" s="4">
        <f>ROUND(E24*'Parâmetros'!$B$21/100,2)</f>
        <v/>
      </c>
    </row>
    <row r="25">
      <c r="A25" s="8" t="inlineStr">
        <is>
          <t>08/2020</t>
        </is>
      </c>
      <c r="B25" s="4">
        <f>'Diferenças'!D28</f>
        <v/>
      </c>
      <c r="C25" s="4">
        <f>'Diferenças'!M28</f>
        <v/>
      </c>
      <c r="D25" s="4">
        <f>'Diferenças'!N28</f>
        <v/>
      </c>
      <c r="E25" s="4">
        <f>C25+D25</f>
        <v/>
      </c>
      <c r="F25" s="4">
        <f>ROUND(E25*'Parâmetros'!$B$21/100,2)</f>
        <v/>
      </c>
    </row>
    <row r="26">
      <c r="A26" s="8" t="inlineStr">
        <is>
          <t>09/2020</t>
        </is>
      </c>
      <c r="B26" s="4">
        <f>'Diferenças'!D29</f>
        <v/>
      </c>
      <c r="C26" s="4">
        <f>'Diferenças'!M29</f>
        <v/>
      </c>
      <c r="D26" s="4">
        <f>'Diferenças'!N29</f>
        <v/>
      </c>
      <c r="E26" s="4">
        <f>C26+D26</f>
        <v/>
      </c>
      <c r="F26" s="4">
        <f>ROUND(E26*'Parâmetros'!$B$21/100,2)</f>
        <v/>
      </c>
    </row>
    <row r="27">
      <c r="A27" s="8" t="inlineStr">
        <is>
          <t>10/2020</t>
        </is>
      </c>
      <c r="B27" s="4">
        <f>'Diferenças'!D30</f>
        <v/>
      </c>
      <c r="C27" s="4">
        <f>'Diferenças'!M30</f>
        <v/>
      </c>
      <c r="D27" s="4">
        <f>'Diferenças'!N30</f>
        <v/>
      </c>
      <c r="E27" s="4">
        <f>C27+D27</f>
        <v/>
      </c>
      <c r="F27" s="4">
        <f>ROUND(E27*'Parâmetros'!$B$21/100,2)</f>
        <v/>
      </c>
    </row>
    <row r="28">
      <c r="A28" s="8" t="inlineStr">
        <is>
          <t>11/2020</t>
        </is>
      </c>
      <c r="B28" s="4">
        <f>'Diferenças'!D31</f>
        <v/>
      </c>
      <c r="C28" s="4">
        <f>'Diferenças'!M31</f>
        <v/>
      </c>
      <c r="D28" s="4">
        <f>'Diferenças'!N31</f>
        <v/>
      </c>
      <c r="E28" s="4">
        <f>C28+D28</f>
        <v/>
      </c>
      <c r="F28" s="4">
        <f>ROUND(E28*'Parâmetros'!$B$21/100,2)</f>
        <v/>
      </c>
    </row>
    <row r="29">
      <c r="A29" s="8" t="inlineStr">
        <is>
          <t>12/2020</t>
        </is>
      </c>
      <c r="B29" s="4">
        <f>'Diferenças'!D32</f>
        <v/>
      </c>
      <c r="C29" s="4">
        <f>'Diferenças'!M32</f>
        <v/>
      </c>
      <c r="D29" s="4">
        <f>'Diferenças'!N32</f>
        <v/>
      </c>
      <c r="E29" s="4">
        <f>C29+D29</f>
        <v/>
      </c>
      <c r="F29" s="4">
        <f>ROUND(E29*'Parâmetros'!$B$21/100,2)</f>
        <v/>
      </c>
    </row>
    <row r="30">
      <c r="A30" s="8" t="inlineStr">
        <is>
          <t>01/2021</t>
        </is>
      </c>
      <c r="B30" s="4">
        <f>'Diferenças'!D33</f>
        <v/>
      </c>
      <c r="C30" s="4">
        <f>'Diferenças'!M33</f>
        <v/>
      </c>
      <c r="D30" s="4">
        <f>'Diferenças'!N33</f>
        <v/>
      </c>
      <c r="E30" s="4">
        <f>C30+D30</f>
        <v/>
      </c>
      <c r="F30" s="4">
        <f>ROUND(E30*'Parâmetros'!$B$21/100,2)</f>
        <v/>
      </c>
    </row>
    <row r="31">
      <c r="A31" s="8" t="inlineStr">
        <is>
          <t>02/2021</t>
        </is>
      </c>
      <c r="B31" s="4">
        <f>'Diferenças'!D34</f>
        <v/>
      </c>
      <c r="C31" s="4">
        <f>'Diferenças'!M34</f>
        <v/>
      </c>
      <c r="D31" s="4">
        <f>'Diferenças'!N34</f>
        <v/>
      </c>
      <c r="E31" s="4">
        <f>C31+D31</f>
        <v/>
      </c>
      <c r="F31" s="4">
        <f>ROUND(E31*'Parâmetros'!$B$21/100,2)</f>
        <v/>
      </c>
    </row>
    <row r="32">
      <c r="A32" s="8" t="inlineStr">
        <is>
          <t>03/2021</t>
        </is>
      </c>
      <c r="B32" s="4">
        <f>'Diferenças'!D35</f>
        <v/>
      </c>
      <c r="C32" s="4">
        <f>'Diferenças'!M35</f>
        <v/>
      </c>
      <c r="D32" s="4">
        <f>'Diferenças'!N35</f>
        <v/>
      </c>
      <c r="E32" s="4">
        <f>C32+D32</f>
        <v/>
      </c>
      <c r="F32" s="4">
        <f>ROUND(E32*'Parâmetros'!$B$21/100,2)</f>
        <v/>
      </c>
    </row>
    <row r="33">
      <c r="A33" s="8" t="inlineStr">
        <is>
          <t>04/2021</t>
        </is>
      </c>
      <c r="B33" s="4">
        <f>'Diferenças'!D36</f>
        <v/>
      </c>
      <c r="C33" s="4">
        <f>'Diferenças'!M36</f>
        <v/>
      </c>
      <c r="D33" s="4">
        <f>'Diferenças'!N36</f>
        <v/>
      </c>
      <c r="E33" s="4">
        <f>C33+D33</f>
        <v/>
      </c>
      <c r="F33" s="4">
        <f>ROUND(E33*'Parâmetros'!$B$21/100,2)</f>
        <v/>
      </c>
    </row>
    <row r="34">
      <c r="A34" s="8" t="inlineStr">
        <is>
          <t>05/2021</t>
        </is>
      </c>
      <c r="B34" s="4">
        <f>'Diferenças'!D37</f>
        <v/>
      </c>
      <c r="C34" s="4">
        <f>'Diferenças'!M37</f>
        <v/>
      </c>
      <c r="D34" s="4">
        <f>'Diferenças'!N37</f>
        <v/>
      </c>
      <c r="E34" s="4">
        <f>C34+D34</f>
        <v/>
      </c>
      <c r="F34" s="4">
        <f>ROUND(E34*'Parâmetros'!$B$21/100,2)</f>
        <v/>
      </c>
    </row>
    <row r="35">
      <c r="A35" s="8" t="inlineStr">
        <is>
          <t>13º</t>
        </is>
      </c>
      <c r="B35" s="4">
        <f>'Diferenças'!D38</f>
        <v/>
      </c>
      <c r="C35" s="4">
        <f>'Diferenças'!M38</f>
        <v/>
      </c>
      <c r="D35" s="4">
        <f>'Diferenças'!N38</f>
        <v/>
      </c>
      <c r="E35" s="4">
        <f>C35+D35</f>
        <v/>
      </c>
      <c r="F35" s="4">
        <f>ROUND(E35*'Parâmetros'!$B$21/100,2)</f>
        <v/>
      </c>
    </row>
    <row r="36">
      <c r="A36" s="8" t="inlineStr">
        <is>
          <t>06/2021</t>
        </is>
      </c>
      <c r="B36" s="4">
        <f>'Diferenças'!D39</f>
        <v/>
      </c>
      <c r="C36" s="4">
        <f>'Diferenças'!M39</f>
        <v/>
      </c>
      <c r="D36" s="4">
        <f>'Diferenças'!N39</f>
        <v/>
      </c>
      <c r="E36" s="4">
        <f>C36+D36</f>
        <v/>
      </c>
      <c r="F36" s="4">
        <f>ROUND(E36*'Parâmetros'!$B$21/100,2)</f>
        <v/>
      </c>
    </row>
    <row r="37">
      <c r="A37" s="8" t="inlineStr">
        <is>
          <t>13º</t>
        </is>
      </c>
      <c r="B37" s="4">
        <f>'Diferenças'!D40</f>
        <v/>
      </c>
      <c r="C37" s="4">
        <f>'Diferenças'!M40</f>
        <v/>
      </c>
      <c r="D37" s="4">
        <f>'Diferenças'!N40</f>
        <v/>
      </c>
      <c r="E37" s="4">
        <f>C37+D37</f>
        <v/>
      </c>
      <c r="F37" s="4">
        <f>ROUND(E37*'Parâmetros'!$B$21/100,2)</f>
        <v/>
      </c>
    </row>
    <row r="38">
      <c r="A38" s="8" t="inlineStr">
        <is>
          <t>07/2021</t>
        </is>
      </c>
      <c r="B38" s="4">
        <f>'Diferenças'!D41</f>
        <v/>
      </c>
      <c r="C38" s="4">
        <f>'Diferenças'!M41</f>
        <v/>
      </c>
      <c r="D38" s="4">
        <f>'Diferenças'!N41</f>
        <v/>
      </c>
      <c r="E38" s="4">
        <f>C38+D38</f>
        <v/>
      </c>
      <c r="F38" s="4">
        <f>ROUND(E38*'Parâmetros'!$B$21/100,2)</f>
        <v/>
      </c>
    </row>
    <row r="39">
      <c r="A39" s="8" t="inlineStr">
        <is>
          <t>08/2021</t>
        </is>
      </c>
      <c r="B39" s="4">
        <f>'Diferenças'!D42</f>
        <v/>
      </c>
      <c r="C39" s="4">
        <f>'Diferenças'!M42</f>
        <v/>
      </c>
      <c r="D39" s="4">
        <f>'Diferenças'!N42</f>
        <v/>
      </c>
      <c r="E39" s="4">
        <f>C39+D39</f>
        <v/>
      </c>
      <c r="F39" s="4">
        <f>ROUND(E39*'Parâmetros'!$B$21/100,2)</f>
        <v/>
      </c>
    </row>
    <row r="40">
      <c r="A40" s="8" t="inlineStr">
        <is>
          <t>09/2021</t>
        </is>
      </c>
      <c r="B40" s="4">
        <f>'Diferenças'!D43</f>
        <v/>
      </c>
      <c r="C40" s="4">
        <f>'Diferenças'!M43</f>
        <v/>
      </c>
      <c r="D40" s="4">
        <f>'Diferenças'!N43</f>
        <v/>
      </c>
      <c r="E40" s="4">
        <f>C40+D40</f>
        <v/>
      </c>
      <c r="F40" s="4">
        <f>ROUND(E40*'Parâmetros'!$B$21/100,2)</f>
        <v/>
      </c>
    </row>
    <row r="41">
      <c r="A41" s="8" t="inlineStr">
        <is>
          <t>10/2021</t>
        </is>
      </c>
      <c r="B41" s="4">
        <f>'Diferenças'!D44</f>
        <v/>
      </c>
      <c r="C41" s="4">
        <f>'Diferenças'!M44</f>
        <v/>
      </c>
      <c r="D41" s="4">
        <f>'Diferenças'!N44</f>
        <v/>
      </c>
      <c r="E41" s="4">
        <f>C41+D41</f>
        <v/>
      </c>
      <c r="F41" s="4">
        <f>ROUND(E41*'Parâmetros'!$B$21/100,2)</f>
        <v/>
      </c>
    </row>
    <row r="42">
      <c r="A42" s="8" t="inlineStr">
        <is>
          <t>11/2021</t>
        </is>
      </c>
      <c r="B42" s="4">
        <f>'Diferenças'!D45</f>
        <v/>
      </c>
      <c r="C42" s="4">
        <f>'Diferenças'!M45</f>
        <v/>
      </c>
      <c r="D42" s="4">
        <f>'Diferenças'!N45</f>
        <v/>
      </c>
      <c r="E42" s="4">
        <f>C42+D42</f>
        <v/>
      </c>
      <c r="F42" s="4">
        <f>ROUND(E42*'Parâmetros'!$B$21/100,2)</f>
        <v/>
      </c>
    </row>
    <row r="43">
      <c r="A43" s="8" t="inlineStr">
        <is>
          <t>12/2021</t>
        </is>
      </c>
      <c r="B43" s="4">
        <f>'Diferenças'!D46</f>
        <v/>
      </c>
      <c r="C43" s="4">
        <f>'Diferenças'!M46</f>
        <v/>
      </c>
      <c r="D43" s="4">
        <f>'Diferenças'!N46</f>
        <v/>
      </c>
      <c r="E43" s="4">
        <f>C43+D43</f>
        <v/>
      </c>
      <c r="F43" s="4">
        <f>ROUND(E43*'Parâmetros'!$B$21/100,2)</f>
        <v/>
      </c>
    </row>
    <row r="44">
      <c r="A44" s="8" t="inlineStr">
        <is>
          <t>01/2022</t>
        </is>
      </c>
      <c r="B44" s="4">
        <f>'Diferenças'!D47</f>
        <v/>
      </c>
      <c r="C44" s="4">
        <f>'Diferenças'!M47</f>
        <v/>
      </c>
      <c r="D44" s="4">
        <f>'Diferenças'!N47</f>
        <v/>
      </c>
      <c r="E44" s="4">
        <f>C44+D44</f>
        <v/>
      </c>
      <c r="F44" s="4">
        <f>ROUND(E44*'Parâmetros'!$B$21/100,2)</f>
        <v/>
      </c>
    </row>
    <row r="45">
      <c r="A45" s="8" t="inlineStr">
        <is>
          <t>02/2022</t>
        </is>
      </c>
      <c r="B45" s="4">
        <f>'Diferenças'!D48</f>
        <v/>
      </c>
      <c r="C45" s="4">
        <f>'Diferenças'!M48</f>
        <v/>
      </c>
      <c r="D45" s="4">
        <f>'Diferenças'!N48</f>
        <v/>
      </c>
      <c r="E45" s="4">
        <f>C45+D45</f>
        <v/>
      </c>
      <c r="F45" s="4">
        <f>ROUND(E45*'Parâmetros'!$B$21/100,2)</f>
        <v/>
      </c>
    </row>
    <row r="46">
      <c r="A46" s="8" t="inlineStr">
        <is>
          <t>03/2022</t>
        </is>
      </c>
      <c r="B46" s="4">
        <f>'Diferenças'!D49</f>
        <v/>
      </c>
      <c r="C46" s="4">
        <f>'Diferenças'!M49</f>
        <v/>
      </c>
      <c r="D46" s="4">
        <f>'Diferenças'!N49</f>
        <v/>
      </c>
      <c r="E46" s="4">
        <f>C46+D46</f>
        <v/>
      </c>
      <c r="F46" s="4">
        <f>ROUND(E46*'Parâmetros'!$B$21/100,2)</f>
        <v/>
      </c>
    </row>
    <row r="47">
      <c r="A47" s="8" t="inlineStr">
        <is>
          <t>04/2022</t>
        </is>
      </c>
      <c r="B47" s="4">
        <f>'Diferenças'!D50</f>
        <v/>
      </c>
      <c r="C47" s="4">
        <f>'Diferenças'!M50</f>
        <v/>
      </c>
      <c r="D47" s="4">
        <f>'Diferenças'!N50</f>
        <v/>
      </c>
      <c r="E47" s="4">
        <f>C47+D47</f>
        <v/>
      </c>
      <c r="F47" s="4">
        <f>ROUND(E47*'Parâmetros'!$B$21/100,2)</f>
        <v/>
      </c>
    </row>
    <row r="48">
      <c r="A48" s="8" t="inlineStr">
        <is>
          <t>13º</t>
        </is>
      </c>
      <c r="B48" s="4">
        <f>'Diferenças'!D51</f>
        <v/>
      </c>
      <c r="C48" s="4">
        <f>'Diferenças'!M51</f>
        <v/>
      </c>
      <c r="D48" s="4">
        <f>'Diferenças'!N51</f>
        <v/>
      </c>
      <c r="E48" s="4">
        <f>C48+D48</f>
        <v/>
      </c>
      <c r="F48" s="4">
        <f>ROUND(E48*'Parâmetros'!$B$21/100,2)</f>
        <v/>
      </c>
    </row>
    <row r="49">
      <c r="A49" s="8" t="inlineStr">
        <is>
          <t>05/2022</t>
        </is>
      </c>
      <c r="B49" s="4">
        <f>'Diferenças'!D52</f>
        <v/>
      </c>
      <c r="C49" s="4">
        <f>'Diferenças'!M52</f>
        <v/>
      </c>
      <c r="D49" s="4">
        <f>'Diferenças'!N52</f>
        <v/>
      </c>
      <c r="E49" s="4">
        <f>C49+D49</f>
        <v/>
      </c>
      <c r="F49" s="4">
        <f>ROUND(E49*'Parâmetros'!$B$21/100,2)</f>
        <v/>
      </c>
    </row>
    <row r="50">
      <c r="A50" s="8" t="inlineStr">
        <is>
          <t>13º</t>
        </is>
      </c>
      <c r="B50" s="4">
        <f>'Diferenças'!D53</f>
        <v/>
      </c>
      <c r="C50" s="4">
        <f>'Diferenças'!M53</f>
        <v/>
      </c>
      <c r="D50" s="4">
        <f>'Diferenças'!N53</f>
        <v/>
      </c>
      <c r="E50" s="4">
        <f>C50+D50</f>
        <v/>
      </c>
      <c r="F50" s="4">
        <f>ROUND(E50*'Parâmetros'!$B$21/100,2)</f>
        <v/>
      </c>
    </row>
    <row r="51">
      <c r="A51" s="8" t="inlineStr">
        <is>
          <t>06/2022</t>
        </is>
      </c>
      <c r="B51" s="4">
        <f>'Diferenças'!D54</f>
        <v/>
      </c>
      <c r="C51" s="4">
        <f>'Diferenças'!M54</f>
        <v/>
      </c>
      <c r="D51" s="4">
        <f>'Diferenças'!N54</f>
        <v/>
      </c>
      <c r="E51" s="4">
        <f>C51+D51</f>
        <v/>
      </c>
      <c r="F51" s="4">
        <f>ROUND(E51*'Parâmetros'!$B$21/100,2)</f>
        <v/>
      </c>
    </row>
    <row r="52">
      <c r="A52" s="8" t="inlineStr">
        <is>
          <t>07/2022</t>
        </is>
      </c>
      <c r="B52" s="4">
        <f>'Diferenças'!D55</f>
        <v/>
      </c>
      <c r="C52" s="4">
        <f>'Diferenças'!M55</f>
        <v/>
      </c>
      <c r="D52" s="4">
        <f>'Diferenças'!N55</f>
        <v/>
      </c>
      <c r="E52" s="4">
        <f>C52+D52</f>
        <v/>
      </c>
      <c r="F52" s="4">
        <f>ROUND(E52*'Parâmetros'!$B$21/100,2)</f>
        <v/>
      </c>
    </row>
    <row r="53">
      <c r="A53" s="8" t="inlineStr">
        <is>
          <t>08/2022</t>
        </is>
      </c>
      <c r="B53" s="4">
        <f>'Diferenças'!D56</f>
        <v/>
      </c>
      <c r="C53" s="4">
        <f>'Diferenças'!M56</f>
        <v/>
      </c>
      <c r="D53" s="4">
        <f>'Diferenças'!N56</f>
        <v/>
      </c>
      <c r="E53" s="4">
        <f>C53+D53</f>
        <v/>
      </c>
      <c r="F53" s="4">
        <f>ROUND(E53*'Parâmetros'!$B$21/100,2)</f>
        <v/>
      </c>
    </row>
    <row r="54">
      <c r="A54" s="8" t="inlineStr">
        <is>
          <t>09/2022</t>
        </is>
      </c>
      <c r="B54" s="4">
        <f>'Diferenças'!D57</f>
        <v/>
      </c>
      <c r="C54" s="4">
        <f>'Diferenças'!M57</f>
        <v/>
      </c>
      <c r="D54" s="4">
        <f>'Diferenças'!N57</f>
        <v/>
      </c>
      <c r="E54" s="4">
        <f>C54+D54</f>
        <v/>
      </c>
      <c r="F54" s="4">
        <f>ROUND(E54*'Parâmetros'!$B$21/100,2)</f>
        <v/>
      </c>
    </row>
    <row r="55">
      <c r="A55" s="8" t="inlineStr">
        <is>
          <t>10/2022</t>
        </is>
      </c>
      <c r="B55" s="4">
        <f>'Diferenças'!D58</f>
        <v/>
      </c>
      <c r="C55" s="4">
        <f>'Diferenças'!M58</f>
        <v/>
      </c>
      <c r="D55" s="4">
        <f>'Diferenças'!N58</f>
        <v/>
      </c>
      <c r="E55" s="4">
        <f>C55+D55</f>
        <v/>
      </c>
      <c r="F55" s="4">
        <f>ROUND(E55*'Parâmetros'!$B$21/100,2)</f>
        <v/>
      </c>
    </row>
    <row r="56">
      <c r="A56" s="8" t="inlineStr">
        <is>
          <t>11/2022</t>
        </is>
      </c>
      <c r="B56" s="4">
        <f>'Diferenças'!D59</f>
        <v/>
      </c>
      <c r="C56" s="4">
        <f>'Diferenças'!M59</f>
        <v/>
      </c>
      <c r="D56" s="4">
        <f>'Diferenças'!N59</f>
        <v/>
      </c>
      <c r="E56" s="4">
        <f>C56+D56</f>
        <v/>
      </c>
      <c r="F56" s="4">
        <f>ROUND(E56*'Parâmetros'!$B$21/100,2)</f>
        <v/>
      </c>
    </row>
    <row r="57">
      <c r="A57" s="8" t="inlineStr">
        <is>
          <t>12/2022</t>
        </is>
      </c>
      <c r="B57" s="4">
        <f>'Diferenças'!D60</f>
        <v/>
      </c>
      <c r="C57" s="4">
        <f>'Diferenças'!M60</f>
        <v/>
      </c>
      <c r="D57" s="4">
        <f>'Diferenças'!N60</f>
        <v/>
      </c>
      <c r="E57" s="4">
        <f>C57+D57</f>
        <v/>
      </c>
      <c r="F57" s="4">
        <f>ROUND(E57*'Parâmetros'!$B$21/100,2)</f>
        <v/>
      </c>
    </row>
    <row r="58">
      <c r="A58" s="8" t="inlineStr">
        <is>
          <t>01/2023</t>
        </is>
      </c>
      <c r="B58" s="4">
        <f>'Diferenças'!D61</f>
        <v/>
      </c>
      <c r="C58" s="4">
        <f>'Diferenças'!M61</f>
        <v/>
      </c>
      <c r="D58" s="4">
        <f>'Diferenças'!N61</f>
        <v/>
      </c>
      <c r="E58" s="4">
        <f>C58+D58</f>
        <v/>
      </c>
      <c r="F58" s="4">
        <f>ROUND(E58*'Parâmetros'!$B$21/100,2)</f>
        <v/>
      </c>
    </row>
    <row r="59">
      <c r="A59" s="8" t="inlineStr">
        <is>
          <t>02/2023</t>
        </is>
      </c>
      <c r="B59" s="4">
        <f>'Diferenças'!D62</f>
        <v/>
      </c>
      <c r="C59" s="4">
        <f>'Diferenças'!M62</f>
        <v/>
      </c>
      <c r="D59" s="4">
        <f>'Diferenças'!N62</f>
        <v/>
      </c>
      <c r="E59" s="4">
        <f>C59+D59</f>
        <v/>
      </c>
      <c r="F59" s="4">
        <f>ROUND(E59*'Parâmetros'!$B$21/100,2)</f>
        <v/>
      </c>
    </row>
    <row r="60">
      <c r="A60" s="8" t="inlineStr">
        <is>
          <t>03/2023</t>
        </is>
      </c>
      <c r="B60" s="4">
        <f>'Diferenças'!D63</f>
        <v/>
      </c>
      <c r="C60" s="4">
        <f>'Diferenças'!M63</f>
        <v/>
      </c>
      <c r="D60" s="4">
        <f>'Diferenças'!N63</f>
        <v/>
      </c>
      <c r="E60" s="4">
        <f>C60+D60</f>
        <v/>
      </c>
      <c r="F60" s="4">
        <f>ROUND(E60*'Parâmetros'!$B$21/100,2)</f>
        <v/>
      </c>
    </row>
    <row r="61">
      <c r="A61" s="8" t="inlineStr">
        <is>
          <t>04/2023</t>
        </is>
      </c>
      <c r="B61" s="4">
        <f>'Diferenças'!D64</f>
        <v/>
      </c>
      <c r="C61" s="4">
        <f>'Diferenças'!M64</f>
        <v/>
      </c>
      <c r="D61" s="4">
        <f>'Diferenças'!N64</f>
        <v/>
      </c>
      <c r="E61" s="4">
        <f>C61+D61</f>
        <v/>
      </c>
      <c r="F61" s="4">
        <f>ROUND(E61*'Parâmetros'!$B$21/100,2)</f>
        <v/>
      </c>
    </row>
    <row r="62">
      <c r="A62" s="8" t="inlineStr">
        <is>
          <t>05/2023</t>
        </is>
      </c>
      <c r="B62" s="4">
        <f>'Diferenças'!D65</f>
        <v/>
      </c>
      <c r="C62" s="4">
        <f>'Diferenças'!M65</f>
        <v/>
      </c>
      <c r="D62" s="4">
        <f>'Diferenças'!N65</f>
        <v/>
      </c>
      <c r="E62" s="4">
        <f>C62+D62</f>
        <v/>
      </c>
      <c r="F62" s="4">
        <f>ROUND(E62*'Parâmetros'!$B$21/100,2)</f>
        <v/>
      </c>
    </row>
    <row r="63">
      <c r="A63" s="8" t="inlineStr">
        <is>
          <t>13º</t>
        </is>
      </c>
      <c r="B63" s="4">
        <f>'Diferenças'!D66</f>
        <v/>
      </c>
      <c r="C63" s="4">
        <f>'Diferenças'!M66</f>
        <v/>
      </c>
      <c r="D63" s="4">
        <f>'Diferenças'!N66</f>
        <v/>
      </c>
      <c r="E63" s="4">
        <f>C63+D63</f>
        <v/>
      </c>
      <c r="F63" s="4">
        <f>ROUND(E63*'Parâmetros'!$B$21/100,2)</f>
        <v/>
      </c>
    </row>
    <row r="64">
      <c r="A64" s="8" t="inlineStr">
        <is>
          <t>06/2023</t>
        </is>
      </c>
      <c r="B64" s="4">
        <f>'Diferenças'!D67</f>
        <v/>
      </c>
      <c r="C64" s="4">
        <f>'Diferenças'!M67</f>
        <v/>
      </c>
      <c r="D64" s="4">
        <f>'Diferenças'!N67</f>
        <v/>
      </c>
      <c r="E64" s="4">
        <f>C64+D64</f>
        <v/>
      </c>
      <c r="F64" s="4">
        <f>ROUND(E64*'Parâmetros'!$B$21/100,2)</f>
        <v/>
      </c>
    </row>
    <row r="65">
      <c r="A65" s="8" t="inlineStr">
        <is>
          <t>13º</t>
        </is>
      </c>
      <c r="B65" s="4">
        <f>'Diferenças'!D68</f>
        <v/>
      </c>
      <c r="C65" s="4">
        <f>'Diferenças'!M68</f>
        <v/>
      </c>
      <c r="D65" s="4">
        <f>'Diferenças'!N68</f>
        <v/>
      </c>
      <c r="E65" s="4">
        <f>C65+D65</f>
        <v/>
      </c>
      <c r="F65" s="4">
        <f>ROUND(E65*'Parâmetros'!$B$21/100,2)</f>
        <v/>
      </c>
    </row>
    <row r="66">
      <c r="A66" s="8" t="inlineStr">
        <is>
          <t>07/2023</t>
        </is>
      </c>
      <c r="B66" s="4">
        <f>'Diferenças'!D69</f>
        <v/>
      </c>
      <c r="C66" s="4">
        <f>'Diferenças'!M69</f>
        <v/>
      </c>
      <c r="D66" s="4">
        <f>'Diferenças'!N69</f>
        <v/>
      </c>
      <c r="E66" s="4">
        <f>C66+D66</f>
        <v/>
      </c>
      <c r="F66" s="4">
        <f>ROUND(E66*'Parâmetros'!$B$21/100,2)</f>
        <v/>
      </c>
    </row>
    <row r="67">
      <c r="A67" s="8" t="inlineStr">
        <is>
          <t>08/2023</t>
        </is>
      </c>
      <c r="B67" s="4">
        <f>'Diferenças'!D70</f>
        <v/>
      </c>
      <c r="C67" s="4">
        <f>'Diferenças'!M70</f>
        <v/>
      </c>
      <c r="D67" s="4">
        <f>'Diferenças'!N70</f>
        <v/>
      </c>
      <c r="E67" s="4">
        <f>C67+D67</f>
        <v/>
      </c>
      <c r="F67" s="4">
        <f>ROUND(E67*'Parâmetros'!$B$21/100,2)</f>
        <v/>
      </c>
    </row>
    <row r="68">
      <c r="A68" s="8" t="inlineStr">
        <is>
          <t>09/2023</t>
        </is>
      </c>
      <c r="B68" s="4">
        <f>'Diferenças'!D71</f>
        <v/>
      </c>
      <c r="C68" s="4">
        <f>'Diferenças'!M71</f>
        <v/>
      </c>
      <c r="D68" s="4">
        <f>'Diferenças'!N71</f>
        <v/>
      </c>
      <c r="E68" s="4">
        <f>C68+D68</f>
        <v/>
      </c>
      <c r="F68" s="4">
        <f>ROUND(E68*'Parâmetros'!$B$21/100,2)</f>
        <v/>
      </c>
    </row>
    <row r="69">
      <c r="A69" s="8" t="inlineStr">
        <is>
          <t>10/2023</t>
        </is>
      </c>
      <c r="B69" s="4">
        <f>'Diferenças'!D72</f>
        <v/>
      </c>
      <c r="C69" s="4">
        <f>'Diferenças'!M72</f>
        <v/>
      </c>
      <c r="D69" s="4">
        <f>'Diferenças'!N72</f>
        <v/>
      </c>
      <c r="E69" s="4">
        <f>C69+D69</f>
        <v/>
      </c>
      <c r="F69" s="4">
        <f>ROUND(E69*'Parâmetros'!$B$21/100,2)</f>
        <v/>
      </c>
    </row>
    <row r="70">
      <c r="A70" s="8" t="inlineStr">
        <is>
          <t>11/2023</t>
        </is>
      </c>
      <c r="B70" s="4">
        <f>'Diferenças'!D73</f>
        <v/>
      </c>
      <c r="C70" s="4">
        <f>'Diferenças'!M73</f>
        <v/>
      </c>
      <c r="D70" s="4">
        <f>'Diferenças'!N73</f>
        <v/>
      </c>
      <c r="E70" s="4">
        <f>C70+D70</f>
        <v/>
      </c>
      <c r="F70" s="4">
        <f>ROUND(E70*'Parâmetros'!$B$21/100,2)</f>
        <v/>
      </c>
    </row>
    <row r="71">
      <c r="A71" s="8" t="inlineStr">
        <is>
          <t>12/2023</t>
        </is>
      </c>
      <c r="B71" s="4">
        <f>'Diferenças'!D74</f>
        <v/>
      </c>
      <c r="C71" s="4">
        <f>'Diferenças'!M74</f>
        <v/>
      </c>
      <c r="D71" s="4">
        <f>'Diferenças'!N74</f>
        <v/>
      </c>
      <c r="E71" s="4">
        <f>C71+D71</f>
        <v/>
      </c>
      <c r="F71" s="4">
        <f>ROUND(E71*'Parâmetros'!$B$21/100,2)</f>
        <v/>
      </c>
    </row>
    <row r="72">
      <c r="A72" s="8" t="inlineStr">
        <is>
          <t>01/2024</t>
        </is>
      </c>
      <c r="B72" s="4">
        <f>'Diferenças'!D75</f>
        <v/>
      </c>
      <c r="C72" s="4">
        <f>'Diferenças'!M75</f>
        <v/>
      </c>
      <c r="D72" s="4">
        <f>'Diferenças'!N75</f>
        <v/>
      </c>
      <c r="E72" s="4">
        <f>C72+D72</f>
        <v/>
      </c>
      <c r="F72" s="4">
        <f>ROUND(E72*'Parâmetros'!$B$21/100,2)</f>
        <v/>
      </c>
    </row>
    <row r="73">
      <c r="A73" s="8" t="inlineStr">
        <is>
          <t>02/2024</t>
        </is>
      </c>
      <c r="B73" s="4">
        <f>'Diferenças'!D76</f>
        <v/>
      </c>
      <c r="C73" s="4">
        <f>'Diferenças'!M76</f>
        <v/>
      </c>
      <c r="D73" s="4">
        <f>'Diferenças'!N76</f>
        <v/>
      </c>
      <c r="E73" s="4">
        <f>C73+D73</f>
        <v/>
      </c>
      <c r="F73" s="4">
        <f>ROUND(E73*'Parâmetros'!$B$21/100,2)</f>
        <v/>
      </c>
    </row>
    <row r="74">
      <c r="A74" s="8" t="inlineStr">
        <is>
          <t>03/2024</t>
        </is>
      </c>
      <c r="B74" s="4">
        <f>'Diferenças'!D77</f>
        <v/>
      </c>
      <c r="C74" s="4">
        <f>'Diferenças'!M77</f>
        <v/>
      </c>
      <c r="D74" s="4">
        <f>'Diferenças'!N77</f>
        <v/>
      </c>
      <c r="E74" s="4">
        <f>C74+D74</f>
        <v/>
      </c>
      <c r="F74" s="4">
        <f>ROUND(E74*'Parâmetros'!$B$21/100,2)</f>
        <v/>
      </c>
    </row>
    <row r="75">
      <c r="A75" s="8" t="inlineStr">
        <is>
          <t>04/2024</t>
        </is>
      </c>
      <c r="B75" s="4">
        <f>'Diferenças'!D78</f>
        <v/>
      </c>
      <c r="C75" s="4">
        <f>'Diferenças'!M78</f>
        <v/>
      </c>
      <c r="D75" s="4">
        <f>'Diferenças'!N78</f>
        <v/>
      </c>
      <c r="E75" s="4">
        <f>C75+D75</f>
        <v/>
      </c>
      <c r="F75" s="4">
        <f>ROUND(E75*'Parâmetros'!$B$21/100,2)</f>
        <v/>
      </c>
    </row>
    <row r="76">
      <c r="A76" s="8" t="inlineStr">
        <is>
          <t>13º</t>
        </is>
      </c>
      <c r="B76" s="4">
        <f>'Diferenças'!D79</f>
        <v/>
      </c>
      <c r="C76" s="4">
        <f>'Diferenças'!M79</f>
        <v/>
      </c>
      <c r="D76" s="4">
        <f>'Diferenças'!N79</f>
        <v/>
      </c>
      <c r="E76" s="4">
        <f>C76+D76</f>
        <v/>
      </c>
      <c r="F76" s="4">
        <f>ROUND(E76*'Parâmetros'!$B$21/100,2)</f>
        <v/>
      </c>
    </row>
    <row r="77">
      <c r="A77" s="8" t="inlineStr">
        <is>
          <t>05/2024</t>
        </is>
      </c>
      <c r="B77" s="4">
        <f>'Diferenças'!D80</f>
        <v/>
      </c>
      <c r="C77" s="4">
        <f>'Diferenças'!M80</f>
        <v/>
      </c>
      <c r="D77" s="4">
        <f>'Diferenças'!N80</f>
        <v/>
      </c>
      <c r="E77" s="4">
        <f>C77+D77</f>
        <v/>
      </c>
      <c r="F77" s="4">
        <f>ROUND(E77*'Parâmetros'!$B$21/100,2)</f>
        <v/>
      </c>
    </row>
    <row r="78">
      <c r="A78" s="8" t="inlineStr">
        <is>
          <t>13º</t>
        </is>
      </c>
      <c r="B78" s="4">
        <f>'Diferenças'!D81</f>
        <v/>
      </c>
      <c r="C78" s="4">
        <f>'Diferenças'!M81</f>
        <v/>
      </c>
      <c r="D78" s="4">
        <f>'Diferenças'!N81</f>
        <v/>
      </c>
      <c r="E78" s="4">
        <f>C78+D78</f>
        <v/>
      </c>
      <c r="F78" s="4">
        <f>ROUND(E78*'Parâmetros'!$B$21/100,2)</f>
        <v/>
      </c>
    </row>
    <row r="79">
      <c r="A79" s="8" t="inlineStr">
        <is>
          <t>06/2024</t>
        </is>
      </c>
      <c r="B79" s="4">
        <f>'Diferenças'!D82</f>
        <v/>
      </c>
      <c r="C79" s="4">
        <f>'Diferenças'!M82</f>
        <v/>
      </c>
      <c r="D79" s="4">
        <f>'Diferenças'!N82</f>
        <v/>
      </c>
      <c r="E79" s="4">
        <f>C79+D79</f>
        <v/>
      </c>
      <c r="F79" s="4">
        <f>ROUND(E79*'Parâmetros'!$B$21/100,2)</f>
        <v/>
      </c>
    </row>
    <row r="80">
      <c r="A80" s="8" t="inlineStr">
        <is>
          <t>07/2024</t>
        </is>
      </c>
      <c r="B80" s="4">
        <f>'Diferenças'!D83</f>
        <v/>
      </c>
      <c r="C80" s="4">
        <f>'Diferenças'!M83</f>
        <v/>
      </c>
      <c r="D80" s="4">
        <f>'Diferenças'!N83</f>
        <v/>
      </c>
      <c r="E80" s="4">
        <f>C80+D80</f>
        <v/>
      </c>
      <c r="F80" s="4">
        <f>ROUND(E80*'Parâmetros'!$B$21/100,2)</f>
        <v/>
      </c>
    </row>
    <row r="81">
      <c r="A81" s="8" t="inlineStr">
        <is>
          <t>08/2024</t>
        </is>
      </c>
      <c r="B81" s="4">
        <f>'Diferenças'!D84</f>
        <v/>
      </c>
      <c r="C81" s="4">
        <f>'Diferenças'!M84</f>
        <v/>
      </c>
      <c r="D81" s="4">
        <f>'Diferenças'!N84</f>
        <v/>
      </c>
      <c r="E81" s="4">
        <f>C81+D81</f>
        <v/>
      </c>
      <c r="F81" s="4">
        <f>ROUND(E81*'Parâmetros'!$B$21/100,2)</f>
        <v/>
      </c>
    </row>
    <row r="82">
      <c r="A82" s="8" t="inlineStr">
        <is>
          <t>09/2024</t>
        </is>
      </c>
      <c r="B82" s="4">
        <f>'Diferenças'!D85</f>
        <v/>
      </c>
      <c r="C82" s="4">
        <f>'Diferenças'!M85</f>
        <v/>
      </c>
      <c r="D82" s="4">
        <f>'Diferenças'!N85</f>
        <v/>
      </c>
      <c r="E82" s="4">
        <f>C82+D82</f>
        <v/>
      </c>
      <c r="F82" s="4">
        <f>ROUND(E82*'Parâmetros'!$B$21/100,2)</f>
        <v/>
      </c>
    </row>
    <row r="83">
      <c r="A83" s="8" t="inlineStr">
        <is>
          <t>10/2024</t>
        </is>
      </c>
      <c r="B83" s="4">
        <f>'Diferenças'!D86</f>
        <v/>
      </c>
      <c r="C83" s="4">
        <f>'Diferenças'!M86</f>
        <v/>
      </c>
      <c r="D83" s="4">
        <f>'Diferenças'!N86</f>
        <v/>
      </c>
      <c r="E83" s="4">
        <f>C83+D83</f>
        <v/>
      </c>
      <c r="F83" s="4">
        <f>ROUND(E83*'Parâmetros'!$B$21/100,2)</f>
        <v/>
      </c>
    </row>
    <row r="84">
      <c r="A84" s="8" t="inlineStr">
        <is>
          <t>11/2024</t>
        </is>
      </c>
      <c r="B84" s="4">
        <f>'Diferenças'!D87</f>
        <v/>
      </c>
      <c r="C84" s="4">
        <f>'Diferenças'!M87</f>
        <v/>
      </c>
      <c r="D84" s="4">
        <f>'Diferenças'!N87</f>
        <v/>
      </c>
      <c r="E84" s="4">
        <f>C84+D84</f>
        <v/>
      </c>
      <c r="F84" s="4">
        <f>ROUND(E84*'Parâmetros'!$B$21/100,2)</f>
        <v/>
      </c>
    </row>
    <row r="85">
      <c r="A85" s="8" t="inlineStr">
        <is>
          <t>12/2024</t>
        </is>
      </c>
      <c r="B85" s="4">
        <f>'Diferenças'!D88</f>
        <v/>
      </c>
      <c r="C85" s="4">
        <f>'Diferenças'!M88</f>
        <v/>
      </c>
      <c r="D85" s="4">
        <f>'Diferenças'!N88</f>
        <v/>
      </c>
      <c r="E85" s="4">
        <f>C85+D85</f>
        <v/>
      </c>
      <c r="F85" s="4">
        <f>ROUND(E85*'Parâmetros'!$B$21/100,2)</f>
        <v/>
      </c>
    </row>
    <row r="86">
      <c r="A86" s="8" t="inlineStr">
        <is>
          <t>01/2025</t>
        </is>
      </c>
      <c r="B86" s="4">
        <f>'Diferenças'!D89</f>
        <v/>
      </c>
      <c r="C86" s="4">
        <f>'Diferenças'!M89</f>
        <v/>
      </c>
      <c r="D86" s="4">
        <f>'Diferenças'!N89</f>
        <v/>
      </c>
      <c r="E86" s="4">
        <f>C86+D86</f>
        <v/>
      </c>
      <c r="F86" s="4">
        <f>ROUND(E86*'Parâmetros'!$B$21/100,2)</f>
        <v/>
      </c>
    </row>
    <row r="87">
      <c r="A87" s="8" t="inlineStr">
        <is>
          <t>02/2025</t>
        </is>
      </c>
      <c r="B87" s="4">
        <f>'Diferenças'!D90</f>
        <v/>
      </c>
      <c r="C87" s="4">
        <f>'Diferenças'!M90</f>
        <v/>
      </c>
      <c r="D87" s="4">
        <f>'Diferenças'!N90</f>
        <v/>
      </c>
      <c r="E87" s="4">
        <f>C87+D87</f>
        <v/>
      </c>
      <c r="F87" s="4">
        <f>ROUND(E87*'Parâmetros'!$B$21/100,2)</f>
        <v/>
      </c>
    </row>
    <row r="88">
      <c r="A88" s="2" t="inlineStr">
        <is>
          <t>Totais:</t>
        </is>
      </c>
      <c r="B88" s="5">
        <f>SUM(B12:B87)</f>
        <v/>
      </c>
      <c r="C88" s="5">
        <f>SUM(C12:C87)</f>
        <v/>
      </c>
      <c r="D88" s="5">
        <f>SUM(D12:D87)</f>
        <v/>
      </c>
      <c r="E88" s="5">
        <f>SUM(E12:E87)</f>
        <v/>
      </c>
      <c r="F88" s="5">
        <f>SUM(F12:F87)</f>
        <v/>
      </c>
    </row>
    <row r="90">
      <c r="A90" s="2" t="inlineStr">
        <is>
          <t>Sobre a Base Atualizada:</t>
        </is>
      </c>
      <c r="B90" s="4">
        <f>ROUND(C88*'Parâmetros'!$B$21/100,2)</f>
        <v/>
      </c>
    </row>
    <row r="91">
      <c r="A91" s="2" t="inlineStr">
        <is>
          <t>Sobre os Juros:</t>
        </is>
      </c>
      <c r="B91" s="4">
        <f>ROUND(D88*'Parâmetros'!$B$21/100,2)</f>
        <v/>
      </c>
    </row>
    <row r="92">
      <c r="A92" s="2" t="inlineStr">
        <is>
          <t>Valor Fixo:</t>
        </is>
      </c>
      <c r="B92" s="4">
        <f>'Parâmetros'!$B$23</f>
        <v/>
      </c>
    </row>
    <row r="93">
      <c r="A93" s="2" t="inlineStr">
        <is>
          <t>Total Geral de Honorários:</t>
        </is>
      </c>
      <c r="B93" s="5">
        <f>B90+B91+B92</f>
        <v/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</cols>
  <sheetData>
    <row r="1">
      <c r="A1" s="1" t="inlineStr">
        <is>
          <t>Informações para Imposto de Renda (Rendimentos Recebidos Acumuladamente)</t>
        </is>
      </c>
    </row>
    <row r="2">
      <c r="A2" s="2" t="inlineStr">
        <is>
          <t>Nome do Segurado:</t>
        </is>
      </c>
      <c r="B2" t="inlineStr">
        <is>
          <t>SEGURADO EXEMPLO</t>
        </is>
      </c>
      <c r="D2" s="2" t="inlineStr">
        <is>
          <t>NIT:</t>
        </is>
      </c>
      <c r="E2" t="inlineStr">
        <is>
          <t>000.00000.00-0</t>
        </is>
      </c>
    </row>
    <row r="3">
      <c r="A3" s="2" t="inlineStr">
        <is>
          <t>CPF:</t>
        </is>
      </c>
      <c r="B3" t="inlineStr">
        <is>
          <t>000.000.000-00</t>
        </is>
      </c>
      <c r="D3" s="2" t="inlineStr">
        <is>
          <t>Data de Nascimento:</t>
        </is>
      </c>
      <c r="E3" t="inlineStr">
        <is>
          <t>13/08/1976</t>
        </is>
      </c>
    </row>
    <row r="4">
      <c r="A4" s="2" t="inlineStr">
        <is>
          <t>Sexo:</t>
        </is>
      </c>
      <c r="B4" t="inlineStr">
        <is>
          <t>Masculino</t>
        </is>
      </c>
      <c r="D4" s="2" t="inlineStr">
        <is>
          <t>Nº do Benefício:</t>
        </is>
      </c>
      <c r="E4" t="inlineStr">
        <is>
          <t>000.000.000-0</t>
        </is>
      </c>
    </row>
    <row r="5">
      <c r="A5" s="2" t="inlineStr">
        <is>
          <t>Espécie do Benefício:</t>
        </is>
      </c>
      <c r="B5" t="inlineStr">
        <is>
          <t>46 - Aposentadoria Especial</t>
        </is>
      </c>
      <c r="D5" s="2" t="inlineStr">
        <is>
          <t>Nº do Processo:</t>
        </is>
      </c>
      <c r="E5" t="inlineStr">
        <is>
          <t>0000000-00.2021.4.01.3800</t>
        </is>
      </c>
    </row>
    <row r="6">
      <c r="A6" s="2" t="inlineStr">
        <is>
          <t>Início do Benefício (DIB):</t>
        </is>
      </c>
      <c r="B6" t="inlineStr">
        <is>
          <t>16/10/2019</t>
        </is>
      </c>
      <c r="D6" s="2" t="inlineStr">
        <is>
          <t>Data da Atualização:</t>
        </is>
      </c>
      <c r="E6" t="inlineStr">
        <is>
          <t>08/05/2025</t>
        </is>
      </c>
    </row>
    <row r="7">
      <c r="A7" s="2" t="inlineStr">
        <is>
          <t>Ajuizamento:</t>
        </is>
      </c>
      <c r="B7" t="inlineStr">
        <is>
          <t>21/01/2021</t>
        </is>
      </c>
      <c r="D7" s="2" t="inlineStr">
        <is>
          <t>Data da Prescrição:</t>
        </is>
      </c>
      <c r="E7" t="inlineStr">
        <is>
          <t>16/10/2019</t>
        </is>
      </c>
    </row>
    <row r="9" ht="32" customHeight="1">
      <c r="A9" s="11" t="inlineStr"/>
      <c r="B9" s="11" t="inlineStr">
        <is>
          <t>Valor</t>
        </is>
      </c>
      <c r="C9" s="11" t="inlineStr">
        <is>
          <t>Meses</t>
        </is>
      </c>
    </row>
    <row r="10">
      <c r="A10" s="17" t="inlineStr">
        <is>
          <t>Anos-base anteriores</t>
        </is>
      </c>
      <c r="B10" s="4">
        <f>SUMIFS('Diferenças'!$L$15:$L$90,'Diferenças'!$O$15:$O$90,"&lt;2025")</f>
        <v/>
      </c>
      <c r="C10" s="8" t="n">
        <v>69</v>
      </c>
    </row>
    <row r="11">
      <c r="A11" s="17" t="inlineStr">
        <is>
          <t>Ano-base atual (2025)</t>
        </is>
      </c>
      <c r="B11" s="4">
        <f>SUMIFS('Diferenças'!$L$15:$L$90,'Diferenças'!$O$15:$O$90,2025)</f>
        <v/>
      </c>
      <c r="C11" s="8" t="n">
        <v>2</v>
      </c>
    </row>
    <row r="12">
      <c r="A12" s="17" t="inlineStr">
        <is>
          <t>Total</t>
        </is>
      </c>
      <c r="B12" s="4">
        <f>B10+B11</f>
        <v/>
      </c>
      <c r="C12" s="8" t="n">
        <v>71</v>
      </c>
    </row>
    <row r="14">
      <c r="A14" t="inlineStr">
        <is>
          <t>Meses: competências mensais + 1 mês por ano com 13º (art. 12-A da Lei 7.713/88).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Índices mensais utilizados (%)</t>
        </is>
      </c>
    </row>
    <row r="3" ht="32" customHeight="1">
      <c r="A3" s="11" t="inlineStr">
        <is>
          <t>Competência</t>
        </is>
      </c>
      <c r="B3" s="11" t="inlineStr">
        <is>
          <t>INPC</t>
        </is>
      </c>
      <c r="C3" s="11" t="inlineStr">
        <is>
          <t>JUROS MORA</t>
        </is>
      </c>
      <c r="D3" s="11" t="inlineStr">
        <is>
          <t>SELIC</t>
        </is>
      </c>
    </row>
    <row r="4">
      <c r="A4" s="8" t="inlineStr">
        <is>
          <t>10/2019</t>
        </is>
      </c>
      <c r="B4" s="13" t="n">
        <v>0.04</v>
      </c>
      <c r="C4" s="13" t="n"/>
      <c r="D4" s="13" t="n"/>
    </row>
    <row r="5">
      <c r="A5" s="8" t="inlineStr">
        <is>
          <t>11/2019</t>
        </is>
      </c>
      <c r="B5" s="13" t="n">
        <v>0.54</v>
      </c>
      <c r="C5" s="13" t="n"/>
      <c r="D5" s="13" t="n"/>
    </row>
    <row r="6">
      <c r="A6" s="8" t="inlineStr">
        <is>
          <t>12/2019</t>
        </is>
      </c>
      <c r="B6" s="13" t="n">
        <v>1.22</v>
      </c>
      <c r="C6" s="13" t="n"/>
      <c r="D6" s="13" t="n"/>
    </row>
    <row r="7">
      <c r="A7" s="8" t="inlineStr">
        <is>
          <t>01/2020</t>
        </is>
      </c>
      <c r="B7" s="13" t="n">
        <v>0.19</v>
      </c>
      <c r="C7" s="13" t="n"/>
      <c r="D7" s="13" t="n"/>
    </row>
    <row r="8">
      <c r="A8" s="8" t="inlineStr">
        <is>
          <t>02/2020</t>
        </is>
      </c>
      <c r="B8" s="13" t="n">
        <v>0.17</v>
      </c>
      <c r="C8" s="13" t="n"/>
      <c r="D8" s="13" t="n"/>
    </row>
    <row r="9">
      <c r="A9" s="8" t="inlineStr">
        <is>
          <t>03/2020</t>
        </is>
      </c>
      <c r="B9" s="13" t="n">
        <v>0.18</v>
      </c>
      <c r="C9" s="13" t="n"/>
      <c r="D9" s="13" t="n"/>
    </row>
    <row r="10">
      <c r="A10" s="8" t="inlineStr">
        <is>
          <t>04/2020</t>
        </is>
      </c>
      <c r="B10" s="13" t="n">
        <v>-0.23</v>
      </c>
      <c r="C10" s="13" t="n"/>
      <c r="D10" s="13" t="n"/>
    </row>
    <row r="11">
      <c r="A11" s="8" t="inlineStr">
        <is>
          <t>05/2020</t>
        </is>
      </c>
      <c r="B11" s="13" t="n">
        <v>-0.25</v>
      </c>
      <c r="C11" s="13" t="n"/>
      <c r="D11" s="13" t="n"/>
    </row>
    <row r="12">
      <c r="A12" s="8" t="inlineStr">
        <is>
          <t>06/2020</t>
        </is>
      </c>
      <c r="B12" s="13" t="n">
        <v>0.3</v>
      </c>
      <c r="C12" s="13" t="n"/>
      <c r="D12" s="13" t="n"/>
    </row>
    <row r="13">
      <c r="A13" s="8" t="inlineStr">
        <is>
          <t>07/2020</t>
        </is>
      </c>
      <c r="B13" s="13" t="n">
        <v>0.44</v>
      </c>
      <c r="C13" s="13" t="n"/>
      <c r="D13" s="13" t="n"/>
    </row>
    <row r="14">
      <c r="A14" s="8" t="inlineStr">
        <is>
          <t>08/2020</t>
        </is>
      </c>
      <c r="B14" s="13" t="n">
        <v>0.36</v>
      </c>
      <c r="C14" s="13" t="n"/>
      <c r="D14" s="13" t="n"/>
    </row>
    <row r="15">
      <c r="A15" s="8" t="inlineStr">
        <is>
          <t>09/2020</t>
        </is>
      </c>
      <c r="B15" s="13" t="n">
        <v>0.87</v>
      </c>
      <c r="C15" s="13" t="n"/>
      <c r="D15" s="13" t="n"/>
    </row>
    <row r="16">
      <c r="A16" s="8" t="inlineStr">
        <is>
          <t>10/2020</t>
        </is>
      </c>
      <c r="B16" s="13" t="n">
        <v>0.89</v>
      </c>
      <c r="C16" s="13" t="n"/>
      <c r="D16" s="13" t="n"/>
    </row>
    <row r="17">
      <c r="A17" s="8" t="inlineStr">
        <is>
          <t>11/2020</t>
        </is>
      </c>
      <c r="B17" s="13" t="n">
        <v>0.95</v>
      </c>
      <c r="C17" s="13" t="n"/>
      <c r="D17" s="13" t="n"/>
    </row>
    <row r="18">
      <c r="A18" s="8" t="inlineStr">
        <is>
          <t>12/2020</t>
        </is>
      </c>
      <c r="B18" s="13" t="n">
        <v>1.46</v>
      </c>
      <c r="C18" s="13" t="n"/>
      <c r="D18" s="13" t="n"/>
    </row>
    <row r="19">
      <c r="A19" s="8" t="inlineStr">
        <is>
          <t>01/2021</t>
        </is>
      </c>
      <c r="B19" s="13" t="n">
        <v>0.27</v>
      </c>
      <c r="C19" s="13" t="n"/>
      <c r="D19" s="13" t="n"/>
    </row>
    <row r="20">
      <c r="A20" s="8" t="inlineStr">
        <is>
          <t>02/2021</t>
        </is>
      </c>
      <c r="B20" s="13" t="n">
        <v>0.82</v>
      </c>
      <c r="C20" s="13" t="n"/>
      <c r="D20" s="13" t="n"/>
    </row>
    <row r="21">
      <c r="A21" s="8" t="inlineStr">
        <is>
          <t>03/2021</t>
        </is>
      </c>
      <c r="B21" s="13" t="n">
        <v>0.86</v>
      </c>
      <c r="C21" s="13" t="n"/>
      <c r="D21" s="13" t="n"/>
    </row>
    <row r="22">
      <c r="A22" s="8" t="inlineStr">
        <is>
          <t>04/2021</t>
        </is>
      </c>
      <c r="B22" s="13" t="n">
        <v>0.38</v>
      </c>
      <c r="C22" s="13" t="n"/>
      <c r="D22" s="13" t="n"/>
    </row>
    <row r="23">
      <c r="A23" s="8" t="inlineStr">
        <is>
          <t>05/2021</t>
        </is>
      </c>
      <c r="B23" s="13" t="n">
        <v>0.96</v>
      </c>
      <c r="C23" s="13" t="n"/>
      <c r="D23" s="13" t="n"/>
    </row>
    <row r="24">
      <c r="A24" s="8" t="inlineStr">
        <is>
          <t>06/2021</t>
        </is>
      </c>
      <c r="B24" s="13" t="n">
        <v>0.6</v>
      </c>
      <c r="C24" s="13" t="n"/>
      <c r="D24" s="13" t="n"/>
    </row>
    <row r="25">
      <c r="A25" s="8" t="inlineStr">
        <is>
          <t>07/2021</t>
        </is>
      </c>
      <c r="B25" s="13" t="n">
        <v>1.02</v>
      </c>
      <c r="C25" s="13" t="n"/>
      <c r="D25" s="13" t="n"/>
    </row>
    <row r="26">
      <c r="A26" s="8" t="inlineStr">
        <is>
          <t>08/2021</t>
        </is>
      </c>
      <c r="B26" s="13" t="n">
        <v>0.88</v>
      </c>
      <c r="C26" s="13" t="n"/>
      <c r="D26" s="13" t="n"/>
    </row>
    <row r="27">
      <c r="A27" s="8" t="inlineStr">
        <is>
          <t>09/2021</t>
        </is>
      </c>
      <c r="B27" s="13" t="n">
        <v>1.2</v>
      </c>
      <c r="C27" s="13" t="n"/>
      <c r="D27" s="13" t="n"/>
    </row>
    <row r="28">
      <c r="A28" s="8" t="inlineStr">
        <is>
          <t>10/2021</t>
        </is>
      </c>
      <c r="B28" s="13" t="n">
        <v>1.16</v>
      </c>
      <c r="C28" s="13" t="n">
        <v>0.3575</v>
      </c>
      <c r="D28" s="13" t="n"/>
    </row>
    <row r="29">
      <c r="A29" s="8" t="inlineStr">
        <is>
          <t>11/2021</t>
        </is>
      </c>
      <c r="B29" s="13" t="n">
        <v>0.84</v>
      </c>
      <c r="C29" s="13" t="n">
        <v>0.4412</v>
      </c>
      <c r="D29" s="13" t="n"/>
    </row>
    <row r="30">
      <c r="A30" s="8" t="inlineStr">
        <is>
          <t>12/2021</t>
        </is>
      </c>
      <c r="B30" s="13" t="n"/>
      <c r="C30" s="13" t="n"/>
      <c r="D30" s="13" t="n">
        <v>0.77</v>
      </c>
    </row>
    <row r="31">
      <c r="A31" s="8" t="inlineStr">
        <is>
          <t>01/2022</t>
        </is>
      </c>
      <c r="B31" s="13" t="n"/>
      <c r="C31" s="13" t="n"/>
      <c r="D31" s="13" t="n">
        <v>0.73</v>
      </c>
    </row>
    <row r="32">
      <c r="A32" s="8" t="inlineStr">
        <is>
          <t>02/2022</t>
        </is>
      </c>
      <c r="B32" s="13" t="n"/>
      <c r="C32" s="13" t="n"/>
      <c r="D32" s="13" t="n">
        <v>0.76</v>
      </c>
    </row>
    <row r="33">
      <c r="A33" s="8" t="inlineStr">
        <is>
          <t>03/2022</t>
        </is>
      </c>
      <c r="B33" s="13" t="n"/>
      <c r="C33" s="13" t="n"/>
      <c r="D33" s="13" t="n">
        <v>0.93</v>
      </c>
    </row>
    <row r="34">
      <c r="A34" s="8" t="inlineStr">
        <is>
          <t>04/2022</t>
        </is>
      </c>
      <c r="B34" s="13" t="n"/>
      <c r="C34" s="13" t="n"/>
      <c r="D34" s="13" t="n">
        <v>0.83</v>
      </c>
    </row>
    <row r="35">
      <c r="A35" s="8" t="inlineStr">
        <is>
          <t>05/2022</t>
        </is>
      </c>
      <c r="B35" s="13" t="n"/>
      <c r="C35" s="13" t="n"/>
      <c r="D35" s="13" t="n">
        <v>1.03</v>
      </c>
    </row>
    <row r="36">
      <c r="A36" s="8" t="inlineStr">
        <is>
          <t>06/2022</t>
        </is>
      </c>
      <c r="B36" s="13" t="n"/>
      <c r="C36" s="13" t="n"/>
      <c r="D36" s="13" t="n">
        <v>1.02</v>
      </c>
    </row>
    <row r="37">
      <c r="A37" s="8" t="inlineStr">
        <is>
          <t>07/2022</t>
        </is>
      </c>
      <c r="B37" s="13" t="n"/>
      <c r="C37" s="13" t="n"/>
      <c r="D37" s="13" t="n">
        <v>1.03</v>
      </c>
    </row>
    <row r="38">
      <c r="A38" s="8" t="inlineStr">
        <is>
          <t>08/2022</t>
        </is>
      </c>
      <c r="B38" s="13" t="n"/>
      <c r="C38" s="13" t="n"/>
      <c r="D38" s="13" t="n">
        <v>1.17</v>
      </c>
    </row>
    <row r="39">
      <c r="A39" s="8" t="inlineStr">
        <is>
          <t>09/2022</t>
        </is>
      </c>
      <c r="B39" s="13" t="n"/>
      <c r="C39" s="13" t="n"/>
      <c r="D39" s="13" t="n">
        <v>1.07</v>
      </c>
    </row>
    <row r="40">
      <c r="A40" s="8" t="inlineStr">
        <is>
          <t>10/2022</t>
        </is>
      </c>
      <c r="B40" s="13" t="n"/>
      <c r="C40" s="13" t="n"/>
      <c r="D40" s="13" t="n">
        <v>1.02</v>
      </c>
    </row>
    <row r="41">
      <c r="A41" s="8" t="inlineStr">
        <is>
          <t>11/2022</t>
        </is>
      </c>
      <c r="B41" s="13" t="n"/>
      <c r="C41" s="13" t="n"/>
      <c r="D41" s="13" t="n">
        <v>1.02</v>
      </c>
    </row>
    <row r="42">
      <c r="A42" s="8" t="inlineStr">
        <is>
          <t>12/2022</t>
        </is>
      </c>
      <c r="B42" s="13" t="n"/>
      <c r="C42" s="13" t="n"/>
      <c r="D42" s="13" t="n">
        <v>1.12</v>
      </c>
    </row>
    <row r="43">
      <c r="A43" s="8" t="inlineStr">
        <is>
          <t>01/2023</t>
        </is>
      </c>
      <c r="B43" s="13" t="n"/>
      <c r="C43" s="13" t="n"/>
      <c r="D43" s="13" t="n">
        <v>1.12</v>
      </c>
    </row>
    <row r="44">
      <c r="A44" s="8" t="inlineStr">
        <is>
          <t>02/2023</t>
        </is>
      </c>
      <c r="B44" s="13" t="n"/>
      <c r="C44" s="13" t="n"/>
      <c r="D44" s="13" t="n">
        <v>0.92</v>
      </c>
    </row>
    <row r="45">
      <c r="A45" s="8" t="inlineStr">
        <is>
          <t>03/2023</t>
        </is>
      </c>
      <c r="B45" s="13" t="n"/>
      <c r="C45" s="13" t="n"/>
      <c r="D45" s="13" t="n">
        <v>1.17</v>
      </c>
    </row>
    <row r="46">
      <c r="A46" s="8" t="inlineStr">
        <is>
          <t>04/2023</t>
        </is>
      </c>
      <c r="B46" s="13" t="n"/>
      <c r="C46" s="13" t="n"/>
      <c r="D46" s="13" t="n">
        <v>0.92</v>
      </c>
    </row>
    <row r="47">
      <c r="A47" s="8" t="inlineStr">
        <is>
          <t>05/2023</t>
        </is>
      </c>
      <c r="B47" s="13" t="n"/>
      <c r="C47" s="13" t="n"/>
      <c r="D47" s="13" t="n">
        <v>1.12</v>
      </c>
    </row>
    <row r="48">
      <c r="A48" s="8" t="inlineStr">
        <is>
          <t>06/2023</t>
        </is>
      </c>
      <c r="B48" s="13" t="n"/>
      <c r="C48" s="13" t="n"/>
      <c r="D48" s="13" t="n">
        <v>1.07</v>
      </c>
    </row>
    <row r="49">
      <c r="A49" s="8" t="inlineStr">
        <is>
          <t>07/2023</t>
        </is>
      </c>
      <c r="B49" s="13" t="n"/>
      <c r="C49" s="13" t="n"/>
      <c r="D49" s="13" t="n">
        <v>1.07</v>
      </c>
    </row>
    <row r="50">
      <c r="A50" s="8" t="inlineStr">
        <is>
          <t>08/2023</t>
        </is>
      </c>
      <c r="B50" s="13" t="n"/>
      <c r="C50" s="13" t="n"/>
      <c r="D50" s="13" t="n">
        <v>1.14</v>
      </c>
    </row>
    <row r="51">
      <c r="A51" s="8" t="inlineStr">
        <is>
          <t>09/2023</t>
        </is>
      </c>
      <c r="B51" s="13" t="n"/>
      <c r="C51" s="13" t="n"/>
      <c r="D51" s="13" t="n">
        <v>0.97</v>
      </c>
    </row>
    <row r="52">
      <c r="A52" s="8" t="inlineStr">
        <is>
          <t>10/2023</t>
        </is>
      </c>
      <c r="B52" s="13" t="n"/>
      <c r="C52" s="13" t="n"/>
      <c r="D52" s="13" t="n">
        <v>1</v>
      </c>
    </row>
    <row r="53">
      <c r="A53" s="8" t="inlineStr">
        <is>
          <t>11/2023</t>
        </is>
      </c>
      <c r="B53" s="13" t="n"/>
      <c r="C53" s="13" t="n"/>
      <c r="D53" s="13" t="n">
        <v>0.92</v>
      </c>
    </row>
    <row r="54">
      <c r="A54" s="8" t="inlineStr">
        <is>
          <t>12/2023</t>
        </is>
      </c>
      <c r="B54" s="13" t="n"/>
      <c r="C54" s="13" t="n"/>
      <c r="D54" s="13" t="n">
        <v>0.89</v>
      </c>
    </row>
    <row r="55">
      <c r="A55" s="8" t="inlineStr">
        <is>
          <t>01/2024</t>
        </is>
      </c>
      <c r="B55" s="13" t="n"/>
      <c r="C55" s="13" t="n"/>
      <c r="D55" s="13" t="n">
        <v>0.97</v>
      </c>
    </row>
    <row r="56">
      <c r="A56" s="8" t="inlineStr">
        <is>
          <t>02/2024</t>
        </is>
      </c>
      <c r="B56" s="13" t="n"/>
      <c r="C56" s="13" t="n"/>
      <c r="D56" s="13" t="n">
        <v>0.8</v>
      </c>
    </row>
    <row r="57">
      <c r="A57" s="8" t="inlineStr">
        <is>
          <t>03/2024</t>
        </is>
      </c>
      <c r="B57" s="13" t="n"/>
      <c r="C57" s="13" t="n"/>
      <c r="D57" s="13" t="n">
        <v>0.83</v>
      </c>
    </row>
    <row r="58">
      <c r="A58" s="8" t="inlineStr">
        <is>
          <t>04/2024</t>
        </is>
      </c>
      <c r="B58" s="13" t="n"/>
      <c r="C58" s="13" t="n"/>
      <c r="D58" s="13" t="n">
        <v>0.89</v>
      </c>
    </row>
    <row r="59">
      <c r="A59" s="8" t="inlineStr">
        <is>
          <t>05/2024</t>
        </is>
      </c>
      <c r="B59" s="13" t="n"/>
      <c r="C59" s="13" t="n"/>
      <c r="D59" s="13" t="n">
        <v>0.83</v>
      </c>
    </row>
    <row r="60">
      <c r="A60" s="8" t="inlineStr">
        <is>
          <t>06/2024</t>
        </is>
      </c>
      <c r="B60" s="13" t="n"/>
      <c r="C60" s="13" t="n"/>
      <c r="D60" s="13" t="n">
        <v>0.79</v>
      </c>
    </row>
    <row r="61">
      <c r="A61" s="8" t="inlineStr">
        <is>
          <t>07/2024</t>
        </is>
      </c>
      <c r="B61" s="13" t="n"/>
      <c r="C61" s="13" t="n"/>
      <c r="D61" s="13" t="n">
        <v>0.91</v>
      </c>
    </row>
    <row r="62">
      <c r="A62" s="8" t="inlineStr">
        <is>
          <t>08/2024</t>
        </is>
      </c>
      <c r="B62" s="13" t="n"/>
      <c r="C62" s="13" t="n"/>
      <c r="D62" s="13" t="n">
        <v>0.87</v>
      </c>
    </row>
    <row r="63">
      <c r="A63" s="8" t="inlineStr">
        <is>
          <t>09/2024</t>
        </is>
      </c>
      <c r="B63" s="13" t="n"/>
      <c r="C63" s="13" t="n"/>
      <c r="D63" s="13" t="n">
        <v>0.84</v>
      </c>
    </row>
    <row r="64">
      <c r="A64" s="8" t="inlineStr">
        <is>
          <t>10/2024</t>
        </is>
      </c>
      <c r="B64" s="13" t="n"/>
      <c r="C64" s="13" t="n"/>
      <c r="D64" s="13" t="n">
        <v>0.93</v>
      </c>
    </row>
    <row r="65">
      <c r="A65" s="8" t="inlineStr">
        <is>
          <t>11/2024</t>
        </is>
      </c>
      <c r="B65" s="13" t="n"/>
      <c r="C65" s="13" t="n"/>
      <c r="D65" s="13" t="n">
        <v>0.79</v>
      </c>
    </row>
    <row r="66">
      <c r="A66" s="8" t="inlineStr">
        <is>
          <t>12/2024</t>
        </is>
      </c>
      <c r="B66" s="13" t="n"/>
      <c r="C66" s="13" t="n"/>
      <c r="D66" s="13" t="n">
        <v>0.93</v>
      </c>
    </row>
    <row r="67">
      <c r="A67" s="8" t="inlineStr">
        <is>
          <t>01/2025</t>
        </is>
      </c>
      <c r="B67" s="13" t="n"/>
      <c r="C67" s="13" t="n"/>
      <c r="D67" s="13" t="n">
        <v>1.01</v>
      </c>
    </row>
    <row r="68">
      <c r="A68" s="8" t="inlineStr">
        <is>
          <t>02/2025</t>
        </is>
      </c>
      <c r="B68" s="13" t="n"/>
      <c r="C68" s="13" t="n"/>
      <c r="D68" s="13" t="n">
        <v>0.99</v>
      </c>
    </row>
    <row r="69">
      <c r="A69" s="8" t="inlineStr">
        <is>
          <t>03/2025</t>
        </is>
      </c>
      <c r="B69" s="13" t="n"/>
      <c r="C69" s="13" t="n"/>
      <c r="D69" s="13" t="n">
        <v>0.96</v>
      </c>
    </row>
    <row r="70">
      <c r="A70" s="8" t="inlineStr">
        <is>
          <t>04/2025</t>
        </is>
      </c>
      <c r="B70" s="13" t="n"/>
      <c r="C70" s="13" t="n"/>
      <c r="D70" s="13" t="n">
        <v>1.06</v>
      </c>
    </row>
    <row r="72">
      <c r="A72" t="inlineStr">
        <is>
          <t>Fontes: IBGE/BCB-SGS (INPC 188, IGP-DI 190, IPCA-E 10764, SELIC 4390, meta SELIC 432) e Manual de Cálculos da Justiça Federal.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2026-09-29T22:58:21Z</dcterms:created>
  <dcterms:modified xsi:type="dcterms:W3CDTF">2026-09-29T22:58:21Z</dcterms:modified>
</cp:coreProperties>
</file>